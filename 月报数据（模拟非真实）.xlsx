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1954\Desktop\"/>
    </mc:Choice>
  </mc:AlternateContent>
  <xr:revisionPtr revIDLastSave="0" documentId="13_ncr:1_{0474672A-EAF8-4044-B35F-8E037F03E43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小叮当" sheetId="2" r:id="rId2"/>
    <sheet name="郑伟峰" sheetId="3" r:id="rId3"/>
    <sheet name="梁志成" sheetId="4" r:id="rId4"/>
    <sheet name="方小丹" sheetId="5" r:id="rId5"/>
    <sheet name="洪奕翔" sheetId="6" r:id="rId6"/>
    <sheet name="吴兴涛" sheetId="7" r:id="rId7"/>
    <sheet name="文龙" sheetId="8" r:id="rId8"/>
    <sheet name="王青" sheetId="9" r:id="rId9"/>
    <sheet name="徐丹" sheetId="10" r:id="rId10"/>
    <sheet name="撤店" sheetId="11" r:id="rId11"/>
  </sheets>
  <definedNames>
    <definedName name="_xlnm._FilterDatabase" localSheetId="0" hidden="1">Sheet1!$B$1:$B$141</definedName>
  </definedNames>
  <calcPr calcId="191029"/>
  <pivotCaches>
    <pivotCache cacheId="44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BM50" i="1"/>
  <c r="BL50" i="1"/>
  <c r="BK50" i="1"/>
  <c r="BJ50" i="1"/>
  <c r="BI50" i="1"/>
  <c r="BH50" i="1"/>
  <c r="BG50" i="1"/>
  <c r="BF50" i="1"/>
  <c r="BE50" i="1"/>
  <c r="BD50" i="1"/>
  <c r="BC50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I50" i="1"/>
  <c r="AH50" i="1"/>
  <c r="AG50" i="1"/>
  <c r="AF50" i="1"/>
  <c r="AE50" i="1"/>
  <c r="AD50" i="1"/>
  <c r="AC50" i="1"/>
  <c r="AA50" i="1"/>
  <c r="AA62" i="1" s="1"/>
  <c r="Z50" i="1"/>
  <c r="Z62" i="1" s="1"/>
  <c r="Y50" i="1"/>
  <c r="X50" i="1"/>
  <c r="X62" i="1" s="1"/>
  <c r="X63" i="1" s="1"/>
  <c r="W50" i="1"/>
  <c r="V61" i="1" s="1"/>
  <c r="V50" i="1"/>
  <c r="V62" i="1" s="1"/>
  <c r="U50" i="1"/>
  <c r="U62" i="1" s="1"/>
  <c r="U61" i="1" s="1"/>
  <c r="T50" i="1"/>
  <c r="T62" i="1" s="1"/>
  <c r="T61" i="1" s="1"/>
  <c r="S50" i="1"/>
  <c r="S62" i="1" s="1"/>
  <c r="S61" i="1" s="1"/>
  <c r="R50" i="1"/>
  <c r="R62" i="1" s="1"/>
  <c r="R61" i="1" s="1"/>
  <c r="Q50" i="1"/>
  <c r="O61" i="1" s="1"/>
  <c r="P50" i="1"/>
  <c r="P62" i="1" s="1"/>
  <c r="O50" i="1"/>
  <c r="O62" i="1" s="1"/>
  <c r="N50" i="1"/>
  <c r="N62" i="1" s="1"/>
  <c r="N61" i="1" s="1"/>
  <c r="M50" i="1"/>
  <c r="M62" i="1" s="1"/>
  <c r="M61" i="1" s="1"/>
  <c r="L50" i="1"/>
  <c r="L62" i="1" s="1"/>
  <c r="L61" i="1" s="1"/>
  <c r="K50" i="1"/>
  <c r="J61" i="1" s="1"/>
  <c r="J50" i="1"/>
  <c r="J62" i="1" s="1"/>
  <c r="I50" i="1"/>
  <c r="H61" i="1" s="1"/>
  <c r="H50" i="1"/>
  <c r="H62" i="1" s="1"/>
  <c r="G50" i="1"/>
  <c r="G62" i="1" s="1"/>
  <c r="F50" i="1"/>
  <c r="F62" i="1" s="1"/>
  <c r="F61" i="1" s="1"/>
  <c r="E50" i="1"/>
  <c r="E62" i="1" s="1"/>
  <c r="E61" i="1" s="1"/>
  <c r="D50" i="1"/>
  <c r="D62" i="1" s="1"/>
  <c r="AM49" i="1"/>
  <c r="AB49" i="1"/>
  <c r="AJ49" i="1" s="1"/>
  <c r="AM48" i="1"/>
  <c r="AB48" i="1"/>
  <c r="BO48" i="1" s="1"/>
  <c r="AM47" i="1"/>
  <c r="AB47" i="1"/>
  <c r="AJ47" i="1" s="1"/>
  <c r="AM46" i="1"/>
  <c r="AB46" i="1"/>
  <c r="BO46" i="1" s="1"/>
  <c r="AM45" i="1"/>
  <c r="AB45" i="1"/>
  <c r="BO45" i="1" s="1"/>
  <c r="AM44" i="1"/>
  <c r="AB44" i="1"/>
  <c r="AJ44" i="1" s="1"/>
  <c r="AM43" i="1"/>
  <c r="AB43" i="1"/>
  <c r="AJ43" i="1" s="1"/>
  <c r="AM42" i="1"/>
  <c r="AB42" i="1"/>
  <c r="BO42" i="1" s="1"/>
  <c r="AM41" i="1"/>
  <c r="AB41" i="1"/>
  <c r="BO41" i="1" s="1"/>
  <c r="AM40" i="1"/>
  <c r="AB40" i="1"/>
  <c r="AJ40" i="1" s="1"/>
  <c r="AM39" i="1"/>
  <c r="AB39" i="1"/>
  <c r="AJ39" i="1" s="1"/>
  <c r="AM38" i="1"/>
  <c r="AB38" i="1"/>
  <c r="AJ38" i="1" s="1"/>
  <c r="AM37" i="1"/>
  <c r="AB37" i="1"/>
  <c r="BO37" i="1" s="1"/>
  <c r="AM36" i="1"/>
  <c r="AB36" i="1"/>
  <c r="BO36" i="1" s="1"/>
  <c r="AM35" i="1"/>
  <c r="AB35" i="1"/>
  <c r="AJ35" i="1" s="1"/>
  <c r="AM34" i="1"/>
  <c r="AB34" i="1"/>
  <c r="AJ34" i="1" s="1"/>
  <c r="AM33" i="1"/>
  <c r="AB33" i="1"/>
  <c r="AJ33" i="1" s="1"/>
  <c r="AM32" i="1"/>
  <c r="AB32" i="1"/>
  <c r="BO32" i="1" s="1"/>
  <c r="AM31" i="1"/>
  <c r="AB31" i="1"/>
  <c r="AJ31" i="1" s="1"/>
  <c r="AM30" i="1"/>
  <c r="AB30" i="1"/>
  <c r="AJ30" i="1" s="1"/>
  <c r="AM29" i="1"/>
  <c r="AB29" i="1"/>
  <c r="BO29" i="1" s="1"/>
  <c r="AM28" i="1"/>
  <c r="AB28" i="1"/>
  <c r="AM27" i="1"/>
  <c r="AB27" i="1"/>
  <c r="AJ27" i="1" s="1"/>
  <c r="AM26" i="1"/>
  <c r="AB26" i="1"/>
  <c r="BO26" i="1" s="1"/>
  <c r="AM25" i="1"/>
  <c r="AB25" i="1"/>
  <c r="BO25" i="1" s="1"/>
  <c r="AM24" i="1"/>
  <c r="AB24" i="1"/>
  <c r="BO24" i="1" s="1"/>
  <c r="AM23" i="1"/>
  <c r="AB23" i="1"/>
  <c r="AJ23" i="1" s="1"/>
  <c r="AM22" i="1"/>
  <c r="AB22" i="1"/>
  <c r="BO22" i="1" s="1"/>
  <c r="AM21" i="1"/>
  <c r="AB21" i="1"/>
  <c r="AM20" i="1"/>
  <c r="AB20" i="1"/>
  <c r="AJ20" i="1" s="1"/>
  <c r="AM19" i="1"/>
  <c r="AB19" i="1"/>
  <c r="AJ19" i="1" s="1"/>
  <c r="AM18" i="1"/>
  <c r="AB18" i="1"/>
  <c r="BO18" i="1" s="1"/>
  <c r="AM17" i="1"/>
  <c r="AB17" i="1"/>
  <c r="BO17" i="1" s="1"/>
  <c r="AM16" i="1"/>
  <c r="AB16" i="1"/>
  <c r="BO16" i="1" s="1"/>
  <c r="AM15" i="1"/>
  <c r="AB15" i="1"/>
  <c r="AJ15" i="1" s="1"/>
  <c r="AM14" i="1"/>
  <c r="AB14" i="1"/>
  <c r="BO14" i="1" s="1"/>
  <c r="AM13" i="1"/>
  <c r="AB13" i="1"/>
  <c r="AJ13" i="1" s="1"/>
  <c r="AM12" i="1"/>
  <c r="AB12" i="1"/>
  <c r="AM11" i="1"/>
  <c r="AB11" i="1"/>
  <c r="AJ11" i="1" s="1"/>
  <c r="AM10" i="1"/>
  <c r="AB10" i="1"/>
  <c r="BO10" i="1" s="1"/>
  <c r="AM9" i="1"/>
  <c r="AB9" i="1"/>
  <c r="AJ9" i="1" s="1"/>
  <c r="AM8" i="1"/>
  <c r="AB8" i="1"/>
  <c r="AM7" i="1"/>
  <c r="AB7" i="1"/>
  <c r="AJ7" i="1" s="1"/>
  <c r="AM6" i="1"/>
  <c r="AB6" i="1"/>
  <c r="BO6" i="1" s="1"/>
  <c r="AM5" i="1"/>
  <c r="AB5" i="1"/>
  <c r="BO5" i="1" s="1"/>
  <c r="AM4" i="1"/>
  <c r="AB4" i="1"/>
  <c r="BO4" i="1" s="1"/>
  <c r="AM3" i="1"/>
  <c r="AB3" i="1"/>
  <c r="AJ3" i="1" s="1"/>
  <c r="AM2" i="1"/>
  <c r="AB2" i="1"/>
  <c r="AJ2" i="1" s="1"/>
  <c r="BO20" i="1" l="1"/>
  <c r="BO49" i="1"/>
  <c r="BO38" i="1"/>
  <c r="AJ32" i="1"/>
  <c r="BO27" i="1"/>
  <c r="BO43" i="1"/>
  <c r="BO39" i="1"/>
  <c r="V63" i="1"/>
  <c r="BO34" i="1"/>
  <c r="AJ46" i="1"/>
  <c r="BO23" i="1"/>
  <c r="AJ41" i="1"/>
  <c r="BO30" i="1"/>
  <c r="AJ42" i="1"/>
  <c r="BO47" i="1"/>
  <c r="BO31" i="1"/>
  <c r="BO35" i="1"/>
  <c r="BO11" i="1"/>
  <c r="BO19" i="1"/>
  <c r="BO7" i="1"/>
  <c r="BO15" i="1"/>
  <c r="BO3" i="1"/>
  <c r="H63" i="1"/>
  <c r="BO33" i="1"/>
  <c r="BO12" i="1"/>
  <c r="AJ12" i="1"/>
  <c r="AJ25" i="1"/>
  <c r="J63" i="1"/>
  <c r="A2" i="6" a="1"/>
  <c r="BO2" i="1"/>
  <c r="AB50" i="1"/>
  <c r="BO50" i="1" s="1"/>
  <c r="BO21" i="1"/>
  <c r="AJ21" i="1"/>
  <c r="AM50" i="1"/>
  <c r="AJ16" i="1"/>
  <c r="G61" i="1"/>
  <c r="A2" i="11" a="1"/>
  <c r="AB62" i="1"/>
  <c r="A2" i="9" a="1"/>
  <c r="AJ36" i="1"/>
  <c r="BO44" i="1"/>
  <c r="A2" i="7" a="1"/>
  <c r="BO40" i="1"/>
  <c r="AJ5" i="1"/>
  <c r="BO9" i="1"/>
  <c r="AJ14" i="1"/>
  <c r="AJ28" i="1"/>
  <c r="AJ45" i="1"/>
  <c r="A2" i="5" a="1"/>
  <c r="AJ8" i="1"/>
  <c r="AJ17" i="1"/>
  <c r="AJ26" i="1"/>
  <c r="BO13" i="1"/>
  <c r="AJ10" i="1"/>
  <c r="AJ48" i="1"/>
  <c r="AJ4" i="1"/>
  <c r="BO8" i="1"/>
  <c r="AJ22" i="1"/>
  <c r="AJ18" i="1"/>
  <c r="AJ24" i="1"/>
  <c r="BO28" i="1"/>
  <c r="AJ37" i="1"/>
  <c r="A2" i="8" a="1"/>
  <c r="AJ6" i="1"/>
  <c r="AJ29" i="1"/>
  <c r="A2" i="10" a="1"/>
  <c r="O63" i="1"/>
  <c r="A2" i="4" l="1" a="1"/>
  <c r="AK2" i="4" s="1"/>
  <c r="A2" i="3" a="1"/>
  <c r="B5" i="3" s="1"/>
  <c r="AJ50" i="1"/>
  <c r="BA5" i="10"/>
  <c r="AK5" i="10"/>
  <c r="U5" i="10"/>
  <c r="E5" i="10"/>
  <c r="BE4" i="10"/>
  <c r="AO4" i="10"/>
  <c r="Y4" i="10"/>
  <c r="I4" i="10"/>
  <c r="BI3" i="10"/>
  <c r="AS3" i="10"/>
  <c r="AC3" i="10"/>
  <c r="M3" i="10"/>
  <c r="BM2" i="10"/>
  <c r="AW2" i="10"/>
  <c r="AG2" i="10"/>
  <c r="Q2" i="10"/>
  <c r="BP5" i="10"/>
  <c r="AZ5" i="10"/>
  <c r="AJ5" i="10"/>
  <c r="T5" i="10"/>
  <c r="D5" i="10"/>
  <c r="BD4" i="10"/>
  <c r="AN4" i="10"/>
  <c r="X4" i="10"/>
  <c r="H4" i="10"/>
  <c r="BH3" i="10"/>
  <c r="AR3" i="10"/>
  <c r="AB3" i="10"/>
  <c r="L3" i="10"/>
  <c r="BL2" i="10"/>
  <c r="AV2" i="10"/>
  <c r="AF2" i="10"/>
  <c r="P2" i="10"/>
  <c r="BO5" i="10"/>
  <c r="AY5" i="10"/>
  <c r="AI5" i="10"/>
  <c r="S5" i="10"/>
  <c r="C5" i="10"/>
  <c r="BC4" i="10"/>
  <c r="AM4" i="10"/>
  <c r="W4" i="10"/>
  <c r="G4" i="10"/>
  <c r="BG3" i="10"/>
  <c r="AQ3" i="10"/>
  <c r="AA3" i="10"/>
  <c r="K3" i="10"/>
  <c r="BK2" i="10"/>
  <c r="AU2" i="10"/>
  <c r="AE2" i="10"/>
  <c r="O2" i="10"/>
  <c r="BC5" i="10"/>
  <c r="AG5" i="10"/>
  <c r="N5" i="10"/>
  <c r="BK4" i="10"/>
  <c r="AR4" i="10"/>
  <c r="V4" i="10"/>
  <c r="C4" i="10"/>
  <c r="AZ3" i="10"/>
  <c r="AG3" i="10"/>
  <c r="N3" i="10"/>
  <c r="BH2" i="10"/>
  <c r="AO2" i="10"/>
  <c r="V2" i="10"/>
  <c r="C2" i="10"/>
  <c r="AX5" i="10"/>
  <c r="AE5" i="10"/>
  <c r="L5" i="10"/>
  <c r="BI4" i="10"/>
  <c r="AP4" i="10"/>
  <c r="T4" i="10"/>
  <c r="A4" i="10"/>
  <c r="AX3" i="10"/>
  <c r="AE3" i="10"/>
  <c r="I3" i="10"/>
  <c r="BF2" i="10"/>
  <c r="AM2" i="10"/>
  <c r="T2" i="10"/>
  <c r="BF5" i="10"/>
  <c r="AH5" i="10"/>
  <c r="K5" i="10"/>
  <c r="BF4" i="10"/>
  <c r="AH4" i="10"/>
  <c r="M4" i="10"/>
  <c r="BE3" i="10"/>
  <c r="AJ3" i="10"/>
  <c r="O3" i="10"/>
  <c r="BE2" i="10"/>
  <c r="AJ2" i="10"/>
  <c r="L2" i="10"/>
  <c r="BM5" i="10"/>
  <c r="AQ5" i="10"/>
  <c r="R5" i="10"/>
  <c r="BL4" i="10"/>
  <c r="AK4" i="10"/>
  <c r="O4" i="10"/>
  <c r="BF3" i="10"/>
  <c r="AI3" i="10"/>
  <c r="H3" i="10"/>
  <c r="BB2" i="10"/>
  <c r="AC2" i="10"/>
  <c r="G2" i="10"/>
  <c r="BK5" i="10"/>
  <c r="AO5" i="10"/>
  <c r="P5" i="10"/>
  <c r="BH4" i="10"/>
  <c r="AI4" i="10"/>
  <c r="L4" i="10"/>
  <c r="BC3" i="10"/>
  <c r="AF3" i="10"/>
  <c r="F3" i="10"/>
  <c r="AZ2" i="10"/>
  <c r="AA2" i="10"/>
  <c r="E2" i="10"/>
  <c r="BJ5" i="10"/>
  <c r="AN5" i="10"/>
  <c r="O5" i="10"/>
  <c r="BG4" i="10"/>
  <c r="AG4" i="10"/>
  <c r="K4" i="10"/>
  <c r="BB3" i="10"/>
  <c r="AD3" i="10"/>
  <c r="E3" i="10"/>
  <c r="AY2" i="10"/>
  <c r="Z2" i="10"/>
  <c r="D2" i="10"/>
  <c r="BI5" i="10"/>
  <c r="AM5" i="10"/>
  <c r="M5" i="10"/>
  <c r="BB4" i="10"/>
  <c r="AF4" i="10"/>
  <c r="J4" i="10"/>
  <c r="BA3" i="10"/>
  <c r="Z3" i="10"/>
  <c r="D3" i="10"/>
  <c r="AX2" i="10"/>
  <c r="Y2" i="10"/>
  <c r="B2" i="10"/>
  <c r="BH5" i="10"/>
  <c r="AL5" i="10"/>
  <c r="J5" i="10"/>
  <c r="BA4" i="10"/>
  <c r="AE4" i="10"/>
  <c r="F4" i="10"/>
  <c r="AY3" i="10"/>
  <c r="Y3" i="10"/>
  <c r="C3" i="10"/>
  <c r="AT2" i="10"/>
  <c r="X2" i="10"/>
  <c r="A2" i="10"/>
  <c r="BG5" i="10"/>
  <c r="AF5" i="10"/>
  <c r="I5" i="10"/>
  <c r="AZ4" i="10"/>
  <c r="AD4" i="10"/>
  <c r="E4" i="10"/>
  <c r="AW3" i="10"/>
  <c r="X3" i="10"/>
  <c r="B3" i="10"/>
  <c r="AS2" i="10"/>
  <c r="W2" i="10"/>
  <c r="BD5" i="10"/>
  <c r="AD5" i="10"/>
  <c r="BO4" i="10"/>
  <c r="AA4" i="10"/>
  <c r="BJ3" i="10"/>
  <c r="S3" i="10"/>
  <c r="AR2" i="10"/>
  <c r="J2" i="10"/>
  <c r="AA5" i="10"/>
  <c r="BJ4" i="10"/>
  <c r="S4" i="10"/>
  <c r="AU3" i="10"/>
  <c r="P3" i="10"/>
  <c r="AN2" i="10"/>
  <c r="F2" i="10"/>
  <c r="BN5" i="10"/>
  <c r="Y5" i="10"/>
  <c r="AX4" i="10"/>
  <c r="Q4" i="10"/>
  <c r="AP3" i="10"/>
  <c r="G3" i="10"/>
  <c r="AK2" i="10"/>
  <c r="BE5" i="10"/>
  <c r="H5" i="10"/>
  <c r="AJ4" i="10"/>
  <c r="BD3" i="10"/>
  <c r="A3" i="10"/>
  <c r="AB2" i="10"/>
  <c r="BB5" i="10"/>
  <c r="G5" i="10"/>
  <c r="AC4" i="10"/>
  <c r="AV3" i="10"/>
  <c r="BP2" i="10"/>
  <c r="U2" i="10"/>
  <c r="AW5" i="10"/>
  <c r="F5" i="10"/>
  <c r="AB4" i="10"/>
  <c r="AT3" i="10"/>
  <c r="BO2" i="10"/>
  <c r="S2" i="10"/>
  <c r="AV5" i="10"/>
  <c r="B5" i="10"/>
  <c r="Z4" i="10"/>
  <c r="AO3" i="10"/>
  <c r="BN2" i="10"/>
  <c r="R2" i="10"/>
  <c r="AU5" i="10"/>
  <c r="A5" i="10"/>
  <c r="U4" i="10"/>
  <c r="AN3" i="10"/>
  <c r="BJ2" i="10"/>
  <c r="N2" i="10"/>
  <c r="AS5" i="10"/>
  <c r="BN4" i="10"/>
  <c r="P4" i="10"/>
  <c r="AL3" i="10"/>
  <c r="BG2" i="10"/>
  <c r="K2" i="10"/>
  <c r="Q5" i="10"/>
  <c r="BO3" i="10"/>
  <c r="BD2" i="10"/>
  <c r="BP4" i="10"/>
  <c r="BN3" i="10"/>
  <c r="BC2" i="10"/>
  <c r="BM4" i="10"/>
  <c r="BM3" i="10"/>
  <c r="BA2" i="10"/>
  <c r="AY4" i="10"/>
  <c r="BL3" i="10"/>
  <c r="AQ2" i="10"/>
  <c r="AW4" i="10"/>
  <c r="BK3" i="10"/>
  <c r="AP2" i="10"/>
  <c r="BL5" i="10"/>
  <c r="AU4" i="10"/>
  <c r="AK3" i="10"/>
  <c r="AI2" i="10"/>
  <c r="AS4" i="10"/>
  <c r="J3" i="10"/>
  <c r="AQ4" i="10"/>
  <c r="BI2" i="10"/>
  <c r="AL4" i="10"/>
  <c r="AL2" i="10"/>
  <c r="N4" i="10"/>
  <c r="AD2" i="10"/>
  <c r="R4" i="10"/>
  <c r="AH2" i="10"/>
  <c r="AR5" i="10"/>
  <c r="B4" i="10"/>
  <c r="I2" i="10"/>
  <c r="Z5" i="10"/>
  <c r="M2" i="10"/>
  <c r="X5" i="10"/>
  <c r="H2" i="10"/>
  <c r="V5" i="10"/>
  <c r="BP3" i="10"/>
  <c r="AM3" i="10"/>
  <c r="AH3" i="10"/>
  <c r="W3" i="10"/>
  <c r="W5" i="10"/>
  <c r="V3" i="10"/>
  <c r="AV4" i="10"/>
  <c r="AT4" i="10"/>
  <c r="D4" i="10"/>
  <c r="AT5" i="10"/>
  <c r="U3" i="10"/>
  <c r="AP5" i="10"/>
  <c r="T3" i="10"/>
  <c r="AC5" i="10"/>
  <c r="AB5" i="10"/>
  <c r="R3" i="10"/>
  <c r="Q3" i="10"/>
  <c r="BP16" i="5"/>
  <c r="AZ16" i="5"/>
  <c r="AJ16" i="5"/>
  <c r="T16" i="5"/>
  <c r="D16" i="5"/>
  <c r="BD15" i="5"/>
  <c r="AN15" i="5"/>
  <c r="X15" i="5"/>
  <c r="H15" i="5"/>
  <c r="BH14" i="5"/>
  <c r="AR14" i="5"/>
  <c r="AB14" i="5"/>
  <c r="L14" i="5"/>
  <c r="BL13" i="5"/>
  <c r="AV13" i="5"/>
  <c r="AF13" i="5"/>
  <c r="P13" i="5"/>
  <c r="BP12" i="5"/>
  <c r="AZ12" i="5"/>
  <c r="AJ12" i="5"/>
  <c r="T12" i="5"/>
  <c r="D12" i="5"/>
  <c r="BD11" i="5"/>
  <c r="AN11" i="5"/>
  <c r="X11" i="5"/>
  <c r="H11" i="5"/>
  <c r="BH10" i="5"/>
  <c r="AR10" i="5"/>
  <c r="AB10" i="5"/>
  <c r="L10" i="5"/>
  <c r="BL9" i="5"/>
  <c r="AV9" i="5"/>
  <c r="AF9" i="5"/>
  <c r="P9" i="5"/>
  <c r="BP8" i="5"/>
  <c r="AZ8" i="5"/>
  <c r="AJ8" i="5"/>
  <c r="T8" i="5"/>
  <c r="D8" i="5"/>
  <c r="BD7" i="5"/>
  <c r="AN7" i="5"/>
  <c r="X7" i="5"/>
  <c r="H7" i="5"/>
  <c r="BH6" i="5"/>
  <c r="AR6" i="5"/>
  <c r="AB6" i="5"/>
  <c r="L6" i="5"/>
  <c r="BL5" i="5"/>
  <c r="AV5" i="5"/>
  <c r="AF5" i="5"/>
  <c r="P5" i="5"/>
  <c r="BP4" i="5"/>
  <c r="AZ4" i="5"/>
  <c r="AJ4" i="5"/>
  <c r="T4" i="5"/>
  <c r="D4" i="5"/>
  <c r="BD3" i="5"/>
  <c r="AN3" i="5"/>
  <c r="X3" i="5"/>
  <c r="H3" i="5"/>
  <c r="BH2" i="5"/>
  <c r="AR2" i="5"/>
  <c r="AB2" i="5"/>
  <c r="L2" i="5"/>
  <c r="BM16" i="5"/>
  <c r="AV16" i="5"/>
  <c r="AE16" i="5"/>
  <c r="N16" i="5"/>
  <c r="BK16" i="5"/>
  <c r="AS16" i="5"/>
  <c r="AA16" i="5"/>
  <c r="I16" i="5"/>
  <c r="BH15" i="5"/>
  <c r="AQ15" i="5"/>
  <c r="Z15" i="5"/>
  <c r="I15" i="5"/>
  <c r="BG14" i="5"/>
  <c r="BO16" i="5"/>
  <c r="AU16" i="5"/>
  <c r="AB16" i="5"/>
  <c r="H16" i="5"/>
  <c r="BF15" i="5"/>
  <c r="AM15" i="5"/>
  <c r="U15" i="5"/>
  <c r="C15" i="5"/>
  <c r="BA14" i="5"/>
  <c r="AJ14" i="5"/>
  <c r="S14" i="5"/>
  <c r="B14" i="5"/>
  <c r="BA13" i="5"/>
  <c r="AJ13" i="5"/>
  <c r="S13" i="5"/>
  <c r="B13" i="5"/>
  <c r="BA12" i="5"/>
  <c r="AI12" i="5"/>
  <c r="R12" i="5"/>
  <c r="A12" i="5"/>
  <c r="AZ11" i="5"/>
  <c r="AI11" i="5"/>
  <c r="R11" i="5"/>
  <c r="A11" i="5"/>
  <c r="AZ10" i="5"/>
  <c r="AI10" i="5"/>
  <c r="R10" i="5"/>
  <c r="A10" i="5"/>
  <c r="AZ9" i="5"/>
  <c r="AI9" i="5"/>
  <c r="R9" i="5"/>
  <c r="A9" i="5"/>
  <c r="AY8" i="5"/>
  <c r="AH8" i="5"/>
  <c r="Q8" i="5"/>
  <c r="BP7" i="5"/>
  <c r="AY7" i="5"/>
  <c r="AH7" i="5"/>
  <c r="Q7" i="5"/>
  <c r="BP6" i="5"/>
  <c r="AY6" i="5"/>
  <c r="AH6" i="5"/>
  <c r="Q6" i="5"/>
  <c r="BP5" i="5"/>
  <c r="AY5" i="5"/>
  <c r="AH5" i="5"/>
  <c r="Q5" i="5"/>
  <c r="BO4" i="5"/>
  <c r="AX4" i="5"/>
  <c r="AG4" i="5"/>
  <c r="P4" i="5"/>
  <c r="BO3" i="5"/>
  <c r="AX3" i="5"/>
  <c r="AG3" i="5"/>
  <c r="P3" i="5"/>
  <c r="BO2" i="5"/>
  <c r="AX2" i="5"/>
  <c r="AG2" i="5"/>
  <c r="P2" i="5"/>
  <c r="BJ16" i="5"/>
  <c r="AQ16" i="5"/>
  <c r="X16" i="5"/>
  <c r="E16" i="5"/>
  <c r="BB15" i="5"/>
  <c r="AJ15" i="5"/>
  <c r="R15" i="5"/>
  <c r="BP14" i="5"/>
  <c r="AX14" i="5"/>
  <c r="AG14" i="5"/>
  <c r="P14" i="5"/>
  <c r="BO13" i="5"/>
  <c r="AX13" i="5"/>
  <c r="AG13" i="5"/>
  <c r="O13" i="5"/>
  <c r="BN12" i="5"/>
  <c r="AW12" i="5"/>
  <c r="AF12" i="5"/>
  <c r="O12" i="5"/>
  <c r="BN11" i="5"/>
  <c r="AW11" i="5"/>
  <c r="AF11" i="5"/>
  <c r="O11" i="5"/>
  <c r="BN10" i="5"/>
  <c r="AW10" i="5"/>
  <c r="AF10" i="5"/>
  <c r="O10" i="5"/>
  <c r="BN9" i="5"/>
  <c r="AW9" i="5"/>
  <c r="AE9" i="5"/>
  <c r="N9" i="5"/>
  <c r="BM8" i="5"/>
  <c r="AV8" i="5"/>
  <c r="AE8" i="5"/>
  <c r="N8" i="5"/>
  <c r="BM7" i="5"/>
  <c r="AV7" i="5"/>
  <c r="AE7" i="5"/>
  <c r="N7" i="5"/>
  <c r="BM6" i="5"/>
  <c r="AV6" i="5"/>
  <c r="AE6" i="5"/>
  <c r="N6" i="5"/>
  <c r="BM5" i="5"/>
  <c r="AU5" i="5"/>
  <c r="AD5" i="5"/>
  <c r="M5" i="5"/>
  <c r="BL4" i="5"/>
  <c r="AU4" i="5"/>
  <c r="AD4" i="5"/>
  <c r="M4" i="5"/>
  <c r="BL3" i="5"/>
  <c r="AU3" i="5"/>
  <c r="AD3" i="5"/>
  <c r="M3" i="5"/>
  <c r="BL2" i="5"/>
  <c r="AU2" i="5"/>
  <c r="AD2" i="5"/>
  <c r="M2" i="5"/>
  <c r="BH16" i="5"/>
  <c r="AO16" i="5"/>
  <c r="V16" i="5"/>
  <c r="B16" i="5"/>
  <c r="AZ15" i="5"/>
  <c r="AH15" i="5"/>
  <c r="P15" i="5"/>
  <c r="BN14" i="5"/>
  <c r="AV14" i="5"/>
  <c r="AE14" i="5"/>
  <c r="N14" i="5"/>
  <c r="BM13" i="5"/>
  <c r="AU13" i="5"/>
  <c r="AD13" i="5"/>
  <c r="M13" i="5"/>
  <c r="BL12" i="5"/>
  <c r="AU12" i="5"/>
  <c r="AD12" i="5"/>
  <c r="M12" i="5"/>
  <c r="BL11" i="5"/>
  <c r="AU11" i="5"/>
  <c r="AD11" i="5"/>
  <c r="M11" i="5"/>
  <c r="BL10" i="5"/>
  <c r="AU10" i="5"/>
  <c r="AD10" i="5"/>
  <c r="M10" i="5"/>
  <c r="BK9" i="5"/>
  <c r="AT9" i="5"/>
  <c r="AC9" i="5"/>
  <c r="L9" i="5"/>
  <c r="BK8" i="5"/>
  <c r="AT8" i="5"/>
  <c r="AC8" i="5"/>
  <c r="L8" i="5"/>
  <c r="BK7" i="5"/>
  <c r="AT7" i="5"/>
  <c r="AC7" i="5"/>
  <c r="AP16" i="5"/>
  <c r="R16" i="5"/>
  <c r="BL15" i="5"/>
  <c r="AP15" i="5"/>
  <c r="S15" i="5"/>
  <c r="BL14" i="5"/>
  <c r="AP14" i="5"/>
  <c r="V14" i="5"/>
  <c r="A14" i="5"/>
  <c r="AT13" i="5"/>
  <c r="Z13" i="5"/>
  <c r="F13" i="5"/>
  <c r="BB12" i="5"/>
  <c r="AE12" i="5"/>
  <c r="J12" i="5"/>
  <c r="BF11" i="5"/>
  <c r="AK11" i="5"/>
  <c r="P11" i="5"/>
  <c r="BJ10" i="5"/>
  <c r="AO10" i="5"/>
  <c r="U10" i="5"/>
  <c r="BP9" i="5"/>
  <c r="AS9" i="5"/>
  <c r="Y9" i="5"/>
  <c r="E9" i="5"/>
  <c r="BA8" i="5"/>
  <c r="AD8" i="5"/>
  <c r="I8" i="5"/>
  <c r="BE7" i="5"/>
  <c r="AJ7" i="5"/>
  <c r="O7" i="5"/>
  <c r="BK6" i="5"/>
  <c r="AQ6" i="5"/>
  <c r="X6" i="5"/>
  <c r="E6" i="5"/>
  <c r="BB5" i="5"/>
  <c r="AI5" i="5"/>
  <c r="N5" i="5"/>
  <c r="BJ4" i="5"/>
  <c r="AQ4" i="5"/>
  <c r="X4" i="5"/>
  <c r="E4" i="5"/>
  <c r="BA3" i="5"/>
  <c r="AH3" i="5"/>
  <c r="N3" i="5"/>
  <c r="BJ2" i="5"/>
  <c r="AP2" i="5"/>
  <c r="W2" i="5"/>
  <c r="D2" i="5"/>
  <c r="BN16" i="5"/>
  <c r="AN16" i="5"/>
  <c r="Q16" i="5"/>
  <c r="BK15" i="5"/>
  <c r="AO15" i="5"/>
  <c r="Q15" i="5"/>
  <c r="BK14" i="5"/>
  <c r="AO14" i="5"/>
  <c r="U14" i="5"/>
  <c r="BP13" i="5"/>
  <c r="AS13" i="5"/>
  <c r="Y13" i="5"/>
  <c r="E13" i="5"/>
  <c r="AY12" i="5"/>
  <c r="AC12" i="5"/>
  <c r="I12" i="5"/>
  <c r="BE11" i="5"/>
  <c r="AJ11" i="5"/>
  <c r="N11" i="5"/>
  <c r="BI10" i="5"/>
  <c r="AN10" i="5"/>
  <c r="T10" i="5"/>
  <c r="BO9" i="5"/>
  <c r="AR9" i="5"/>
  <c r="X9" i="5"/>
  <c r="D9" i="5"/>
  <c r="AX8" i="5"/>
  <c r="AB8" i="5"/>
  <c r="H8" i="5"/>
  <c r="BC7" i="5"/>
  <c r="AI7" i="5"/>
  <c r="M7" i="5"/>
  <c r="BJ6" i="5"/>
  <c r="AP6" i="5"/>
  <c r="W6" i="5"/>
  <c r="D6" i="5"/>
  <c r="BA5" i="5"/>
  <c r="AG5" i="5"/>
  <c r="L5" i="5"/>
  <c r="BI4" i="5"/>
  <c r="AP4" i="5"/>
  <c r="W4" i="5"/>
  <c r="C4" i="5"/>
  <c r="AZ3" i="5"/>
  <c r="AF3" i="5"/>
  <c r="L3" i="5"/>
  <c r="BI2" i="5"/>
  <c r="AO2" i="5"/>
  <c r="V2" i="5"/>
  <c r="C2" i="5"/>
  <c r="BL16" i="5"/>
  <c r="AM16" i="5"/>
  <c r="P16" i="5"/>
  <c r="BJ15" i="5"/>
  <c r="AL15" i="5"/>
  <c r="O15" i="5"/>
  <c r="BJ14" i="5"/>
  <c r="AN14" i="5"/>
  <c r="T14" i="5"/>
  <c r="BN13" i="5"/>
  <c r="AR13" i="5"/>
  <c r="X13" i="5"/>
  <c r="D13" i="5"/>
  <c r="AX12" i="5"/>
  <c r="AB12" i="5"/>
  <c r="H12" i="5"/>
  <c r="BC11" i="5"/>
  <c r="AH11" i="5"/>
  <c r="L11" i="5"/>
  <c r="BG10" i="5"/>
  <c r="AM10" i="5"/>
  <c r="S10" i="5"/>
  <c r="BM9" i="5"/>
  <c r="AQ9" i="5"/>
  <c r="W9" i="5"/>
  <c r="C9" i="5"/>
  <c r="AW8" i="5"/>
  <c r="AA8" i="5"/>
  <c r="G8" i="5"/>
  <c r="BB7" i="5"/>
  <c r="AG7" i="5"/>
  <c r="L7" i="5"/>
  <c r="BI6" i="5"/>
  <c r="AO6" i="5"/>
  <c r="V6" i="5"/>
  <c r="C6" i="5"/>
  <c r="AZ5" i="5"/>
  <c r="AE5" i="5"/>
  <c r="K5" i="5"/>
  <c r="BH4" i="5"/>
  <c r="AO4" i="5"/>
  <c r="V4" i="5"/>
  <c r="B4" i="5"/>
  <c r="AY3" i="5"/>
  <c r="AE3" i="5"/>
  <c r="K3" i="5"/>
  <c r="BG2" i="5"/>
  <c r="BI16" i="5"/>
  <c r="BG16" i="5"/>
  <c r="AK16" i="5"/>
  <c r="M16" i="5"/>
  <c r="BG15" i="5"/>
  <c r="AI15" i="5"/>
  <c r="M15" i="5"/>
  <c r="BF14" i="5"/>
  <c r="AL14" i="5"/>
  <c r="Q14" i="5"/>
  <c r="BJ13" i="5"/>
  <c r="AP13" i="5"/>
  <c r="V13" i="5"/>
  <c r="A13" i="5"/>
  <c r="AT12" i="5"/>
  <c r="Z12" i="5"/>
  <c r="F12" i="5"/>
  <c r="BA11" i="5"/>
  <c r="AE11" i="5"/>
  <c r="J11" i="5"/>
  <c r="BE10" i="5"/>
  <c r="AK10" i="5"/>
  <c r="P10" i="5"/>
  <c r="BI9" i="5"/>
  <c r="AO9" i="5"/>
  <c r="U9" i="5"/>
  <c r="BO8" i="5"/>
  <c r="AS8" i="5"/>
  <c r="Y8" i="5"/>
  <c r="E8" i="5"/>
  <c r="AZ7" i="5"/>
  <c r="AD7" i="5"/>
  <c r="J7" i="5"/>
  <c r="BF6" i="5"/>
  <c r="AM6" i="5"/>
  <c r="T6" i="5"/>
  <c r="A6" i="5"/>
  <c r="AW5" i="5"/>
  <c r="AB5" i="5"/>
  <c r="I5" i="5"/>
  <c r="BF4" i="5"/>
  <c r="AM4" i="5"/>
  <c r="S4" i="5"/>
  <c r="BP3" i="5"/>
  <c r="AV3" i="5"/>
  <c r="AB3" i="5"/>
  <c r="I3" i="5"/>
  <c r="BE2" i="5"/>
  <c r="AL2" i="5"/>
  <c r="S2" i="5"/>
  <c r="A2" i="5"/>
  <c r="BF16" i="5"/>
  <c r="AD16" i="5"/>
  <c r="BO15" i="5"/>
  <c r="AG15" i="5"/>
  <c r="F15" i="5"/>
  <c r="AT14" i="5"/>
  <c r="O14" i="5"/>
  <c r="BE13" i="5"/>
  <c r="AC13" i="5"/>
  <c r="BO12" i="5"/>
  <c r="AO12" i="5"/>
  <c r="N12" i="5"/>
  <c r="AY11" i="5"/>
  <c r="Y11" i="5"/>
  <c r="BO10" i="5"/>
  <c r="AJ10" i="5"/>
  <c r="H10" i="5"/>
  <c r="AY9" i="5"/>
  <c r="T9" i="5"/>
  <c r="BH8" i="5"/>
  <c r="AI8" i="5"/>
  <c r="C8" i="5"/>
  <c r="AR7" i="5"/>
  <c r="S7" i="5"/>
  <c r="BE6" i="5"/>
  <c r="AG6" i="5"/>
  <c r="H6" i="5"/>
  <c r="AT5" i="5"/>
  <c r="W5" i="5"/>
  <c r="BN4" i="5"/>
  <c r="AL4" i="5"/>
  <c r="L4" i="5"/>
  <c r="BE3" i="5"/>
  <c r="AA3" i="5"/>
  <c r="C3" i="5"/>
  <c r="AT2" i="5"/>
  <c r="U2" i="5"/>
  <c r="BE16" i="5"/>
  <c r="AC16" i="5"/>
  <c r="BN15" i="5"/>
  <c r="AF15" i="5"/>
  <c r="E15" i="5"/>
  <c r="AS14" i="5"/>
  <c r="M14" i="5"/>
  <c r="BD13" i="5"/>
  <c r="AB13" i="5"/>
  <c r="BM12" i="5"/>
  <c r="AN12" i="5"/>
  <c r="L12" i="5"/>
  <c r="AX11" i="5"/>
  <c r="W11" i="5"/>
  <c r="BM10" i="5"/>
  <c r="AH10" i="5"/>
  <c r="G10" i="5"/>
  <c r="AX9" i="5"/>
  <c r="S9" i="5"/>
  <c r="BG8" i="5"/>
  <c r="AG8" i="5"/>
  <c r="B8" i="5"/>
  <c r="AQ7" i="5"/>
  <c r="R7" i="5"/>
  <c r="BD6" i="5"/>
  <c r="AF6" i="5"/>
  <c r="G6" i="5"/>
  <c r="AS5" i="5"/>
  <c r="V5" i="5"/>
  <c r="BM4" i="5"/>
  <c r="AK4" i="5"/>
  <c r="K4" i="5"/>
  <c r="BC3" i="5"/>
  <c r="Z3" i="5"/>
  <c r="B3" i="5"/>
  <c r="AS2" i="5"/>
  <c r="T2" i="5"/>
  <c r="BC16" i="5"/>
  <c r="Y16" i="5"/>
  <c r="BI15" i="5"/>
  <c r="AD15" i="5"/>
  <c r="B15" i="5"/>
  <c r="AM14" i="5"/>
  <c r="J14" i="5"/>
  <c r="BB13" i="5"/>
  <c r="W13" i="5"/>
  <c r="BJ12" i="5"/>
  <c r="AL12" i="5"/>
  <c r="G12" i="5"/>
  <c r="AT11" i="5"/>
  <c r="U11" i="5"/>
  <c r="BF10" i="5"/>
  <c r="AE10" i="5"/>
  <c r="E10" i="5"/>
  <c r="AP9" i="5"/>
  <c r="O9" i="5"/>
  <c r="BE8" i="5"/>
  <c r="Z8" i="5"/>
  <c r="BO7" i="5"/>
  <c r="AO7" i="5"/>
  <c r="K7" i="5"/>
  <c r="BB6" i="5"/>
  <c r="AC6" i="5"/>
  <c r="B6" i="5"/>
  <c r="AQ5" i="5"/>
  <c r="T5" i="5"/>
  <c r="BG4" i="5"/>
  <c r="AH4" i="5"/>
  <c r="I4" i="5"/>
  <c r="AW3" i="5"/>
  <c r="W3" i="5"/>
  <c r="BP2" i="5"/>
  <c r="AN2" i="5"/>
  <c r="Q2" i="5"/>
  <c r="BA16" i="5"/>
  <c r="U16" i="5"/>
  <c r="BC15" i="5"/>
  <c r="AB15" i="5"/>
  <c r="BO14" i="5"/>
  <c r="AI14" i="5"/>
  <c r="H14" i="5"/>
  <c r="AY13" i="5"/>
  <c r="T13" i="5"/>
  <c r="BH12" i="5"/>
  <c r="AH12" i="5"/>
  <c r="C12" i="5"/>
  <c r="AR11" i="5"/>
  <c r="S11" i="5"/>
  <c r="BC10" i="5"/>
  <c r="AA10" i="5"/>
  <c r="C10" i="5"/>
  <c r="AM9" i="5"/>
  <c r="K9" i="5"/>
  <c r="BC8" i="5"/>
  <c r="W8" i="5"/>
  <c r="BL7" i="5"/>
  <c r="AL7" i="5"/>
  <c r="G7" i="5"/>
  <c r="AZ6" i="5"/>
  <c r="Z6" i="5"/>
  <c r="BN5" i="5"/>
  <c r="AO5" i="5"/>
  <c r="R5" i="5"/>
  <c r="BD4" i="5"/>
  <c r="AE4" i="5"/>
  <c r="G4" i="5"/>
  <c r="AS3" i="5"/>
  <c r="U3" i="5"/>
  <c r="BM2" i="5"/>
  <c r="AK2" i="5"/>
  <c r="N2" i="5"/>
  <c r="AI16" i="5"/>
  <c r="BM15" i="5"/>
  <c r="W15" i="5"/>
  <c r="AZ14" i="5"/>
  <c r="K14" i="5"/>
  <c r="AO13" i="5"/>
  <c r="I13" i="5"/>
  <c r="AM12" i="5"/>
  <c r="BO11" i="5"/>
  <c r="AC11" i="5"/>
  <c r="BK10" i="5"/>
  <c r="X10" i="5"/>
  <c r="BD9" i="5"/>
  <c r="Q9" i="5"/>
  <c r="AR8" i="5"/>
  <c r="M8" i="5"/>
  <c r="AP7" i="5"/>
  <c r="D7" i="5"/>
  <c r="AL6" i="5"/>
  <c r="F6" i="5"/>
  <c r="AL5" i="5"/>
  <c r="D5" i="5"/>
  <c r="AI4" i="5"/>
  <c r="BN3" i="5"/>
  <c r="AK3" i="5"/>
  <c r="A3" i="5"/>
  <c r="AH2" i="5"/>
  <c r="E2" i="5"/>
  <c r="AH16" i="5"/>
  <c r="BE15" i="5"/>
  <c r="V15" i="5"/>
  <c r="AY14" i="5"/>
  <c r="I14" i="5"/>
  <c r="AN13" i="5"/>
  <c r="H13" i="5"/>
  <c r="AK12" i="5"/>
  <c r="BM11" i="5"/>
  <c r="AB11" i="5"/>
  <c r="BD10" i="5"/>
  <c r="W10" i="5"/>
  <c r="BC9" i="5"/>
  <c r="M9" i="5"/>
  <c r="AQ8" i="5"/>
  <c r="K8" i="5"/>
  <c r="AM7" i="5"/>
  <c r="C7" i="5"/>
  <c r="AK6" i="5"/>
  <c r="BO5" i="5"/>
  <c r="AK5" i="5"/>
  <c r="C5" i="5"/>
  <c r="AF4" i="5"/>
  <c r="BM3" i="5"/>
  <c r="AJ3" i="5"/>
  <c r="BN2" i="5"/>
  <c r="AF2" i="5"/>
  <c r="B2" i="5"/>
  <c r="AG16" i="5"/>
  <c r="BA15" i="5"/>
  <c r="T15" i="5"/>
  <c r="AW14" i="5"/>
  <c r="G14" i="5"/>
  <c r="AM13" i="5"/>
  <c r="G13" i="5"/>
  <c r="AG12" i="5"/>
  <c r="BK11" i="5"/>
  <c r="AA11" i="5"/>
  <c r="BB10" i="5"/>
  <c r="V10" i="5"/>
  <c r="BB9" i="5"/>
  <c r="J9" i="5"/>
  <c r="AP8" i="5"/>
  <c r="J8" i="5"/>
  <c r="AK7" i="5"/>
  <c r="B7" i="5"/>
  <c r="AJ6" i="5"/>
  <c r="BK5" i="5"/>
  <c r="AJ5" i="5"/>
  <c r="B5" i="5"/>
  <c r="AC4" i="5"/>
  <c r="BK3" i="5"/>
  <c r="AI3" i="5"/>
  <c r="BK2" i="5"/>
  <c r="AE2" i="5"/>
  <c r="W16" i="5"/>
  <c r="AW15" i="5"/>
  <c r="K15" i="5"/>
  <c r="AK14" i="5"/>
  <c r="D14" i="5"/>
  <c r="AI13" i="5"/>
  <c r="BI12" i="5"/>
  <c r="X12" i="5"/>
  <c r="BH11" i="5"/>
  <c r="T11" i="5"/>
  <c r="AX10" i="5"/>
  <c r="K10" i="5"/>
  <c r="AN9" i="5"/>
  <c r="G9" i="5"/>
  <c r="AM8" i="5"/>
  <c r="BN7" i="5"/>
  <c r="AA7" i="5"/>
  <c r="BN6" i="5"/>
  <c r="AA6" i="5"/>
  <c r="BH5" i="5"/>
  <c r="Z5" i="5"/>
  <c r="BE4" i="5"/>
  <c r="Z4" i="5"/>
  <c r="BH3" i="5"/>
  <c r="V3" i="5"/>
  <c r="BC2" i="5"/>
  <c r="Z2" i="5"/>
  <c r="O16" i="5"/>
  <c r="AK15" i="5"/>
  <c r="BB14" i="5"/>
  <c r="BK13" i="5"/>
  <c r="Q13" i="5"/>
  <c r="AP12" i="5"/>
  <c r="BB11" i="5"/>
  <c r="E11" i="5"/>
  <c r="Y10" i="5"/>
  <c r="AK9" i="5"/>
  <c r="BI8" i="5"/>
  <c r="O8" i="5"/>
  <c r="Y7" i="5"/>
  <c r="AW6" i="5"/>
  <c r="I6" i="5"/>
  <c r="X5" i="5"/>
  <c r="AV4" i="5"/>
  <c r="A4" i="5"/>
  <c r="S3" i="5"/>
  <c r="AV2" i="5"/>
  <c r="F2" i="5"/>
  <c r="AU6" i="5"/>
  <c r="L16" i="5"/>
  <c r="AE15" i="5"/>
  <c r="AU14" i="5"/>
  <c r="BI13" i="5"/>
  <c r="N13" i="5"/>
  <c r="AA12" i="5"/>
  <c r="AV11" i="5"/>
  <c r="D11" i="5"/>
  <c r="Q10" i="5"/>
  <c r="AJ9" i="5"/>
  <c r="BF8" i="5"/>
  <c r="F8" i="5"/>
  <c r="W7" i="5"/>
  <c r="BJ5" i="5"/>
  <c r="U5" i="5"/>
  <c r="AT4" i="5"/>
  <c r="BJ3" i="5"/>
  <c r="R3" i="5"/>
  <c r="AQ2" i="5"/>
  <c r="AH9" i="5"/>
  <c r="A8" i="5"/>
  <c r="AT6" i="5"/>
  <c r="BI5" i="5"/>
  <c r="S5" i="5"/>
  <c r="AS4" i="5"/>
  <c r="Q3" i="5"/>
  <c r="AM2" i="5"/>
  <c r="J16" i="5"/>
  <c r="AA15" i="5"/>
  <c r="AH14" i="5"/>
  <c r="BG13" i="5"/>
  <c r="K13" i="5"/>
  <c r="W12" i="5"/>
  <c r="AQ11" i="5"/>
  <c r="B11" i="5"/>
  <c r="J10" i="5"/>
  <c r="AG9" i="5"/>
  <c r="BB8" i="5"/>
  <c r="BJ7" i="5"/>
  <c r="U7" i="5"/>
  <c r="AS6" i="5"/>
  <c r="BG5" i="5"/>
  <c r="O5" i="5"/>
  <c r="AR4" i="5"/>
  <c r="BG3" i="5"/>
  <c r="O3" i="5"/>
  <c r="AJ2" i="5"/>
  <c r="AY16" i="5"/>
  <c r="A16" i="5"/>
  <c r="J15" i="5"/>
  <c r="AA14" i="5"/>
  <c r="AW13" i="5"/>
  <c r="BG12" i="5"/>
  <c r="Q12" i="5"/>
  <c r="AL11" i="5"/>
  <c r="AV10" i="5"/>
  <c r="B10" i="5"/>
  <c r="Z9" i="5"/>
  <c r="AL8" i="5"/>
  <c r="BF7" i="5"/>
  <c r="F7" i="5"/>
  <c r="Y6" i="5"/>
  <c r="BC5" i="5"/>
  <c r="F5" i="5"/>
  <c r="Y4" i="5"/>
  <c r="AR3" i="5"/>
  <c r="Y2" i="5"/>
  <c r="AX16" i="5"/>
  <c r="BP15" i="5"/>
  <c r="G15" i="5"/>
  <c r="Z14" i="5"/>
  <c r="AQ13" i="5"/>
  <c r="BF12" i="5"/>
  <c r="P12" i="5"/>
  <c r="AG11" i="5"/>
  <c r="AT10" i="5"/>
  <c r="BJ9" i="5"/>
  <c r="V9" i="5"/>
  <c r="AK8" i="5"/>
  <c r="E7" i="5"/>
  <c r="U6" i="5"/>
  <c r="E5" i="5"/>
  <c r="U4" i="5"/>
  <c r="AQ3" i="5"/>
  <c r="X2" i="5"/>
  <c r="AW16" i="5"/>
  <c r="AY15" i="5"/>
  <c r="D15" i="5"/>
  <c r="Y14" i="5"/>
  <c r="AL13" i="5"/>
  <c r="BE12" i="5"/>
  <c r="K12" i="5"/>
  <c r="Z11" i="5"/>
  <c r="AS10" i="5"/>
  <c r="BH9" i="5"/>
  <c r="I9" i="5"/>
  <c r="AF8" i="5"/>
  <c r="AX7" i="5"/>
  <c r="A7" i="5"/>
  <c r="S6" i="5"/>
  <c r="AR5" i="5"/>
  <c r="A5" i="5"/>
  <c r="R4" i="5"/>
  <c r="AP3" i="5"/>
  <c r="BF2" i="5"/>
  <c r="R2" i="5"/>
  <c r="AT16" i="5"/>
  <c r="AX15" i="5"/>
  <c r="A15" i="5"/>
  <c r="X14" i="5"/>
  <c r="AK13" i="5"/>
  <c r="BD12" i="5"/>
  <c r="E12" i="5"/>
  <c r="V11" i="5"/>
  <c r="AQ10" i="5"/>
  <c r="BG9" i="5"/>
  <c r="H9" i="5"/>
  <c r="X8" i="5"/>
  <c r="AW7" i="5"/>
  <c r="BO6" i="5"/>
  <c r="AP5" i="5"/>
  <c r="BK4" i="5"/>
  <c r="Q4" i="5"/>
  <c r="AO3" i="5"/>
  <c r="BD2" i="5"/>
  <c r="O2" i="5"/>
  <c r="K16" i="5"/>
  <c r="AC15" i="5"/>
  <c r="AQ14" i="5"/>
  <c r="BH13" i="5"/>
  <c r="L13" i="5"/>
  <c r="Y12" i="5"/>
  <c r="AS11" i="5"/>
  <c r="C11" i="5"/>
  <c r="N10" i="5"/>
  <c r="BD8" i="5"/>
  <c r="V7" i="5"/>
  <c r="BI3" i="5"/>
  <c r="E3" i="5"/>
  <c r="BA7" i="5"/>
  <c r="AX5" i="5"/>
  <c r="D3" i="5"/>
  <c r="R6" i="5"/>
  <c r="AR16" i="5"/>
  <c r="AV15" i="5"/>
  <c r="BM14" i="5"/>
  <c r="W14" i="5"/>
  <c r="AH13" i="5"/>
  <c r="BC12" i="5"/>
  <c r="B12" i="5"/>
  <c r="Q11" i="5"/>
  <c r="AP10" i="5"/>
  <c r="BF9" i="5"/>
  <c r="F9" i="5"/>
  <c r="V8" i="5"/>
  <c r="AU7" i="5"/>
  <c r="BL6" i="5"/>
  <c r="P6" i="5"/>
  <c r="AN5" i="5"/>
  <c r="BC4" i="5"/>
  <c r="O4" i="5"/>
  <c r="AM3" i="5"/>
  <c r="K2" i="5"/>
  <c r="BB2" i="5"/>
  <c r="G16" i="5"/>
  <c r="Y15" i="5"/>
  <c r="AF14" i="5"/>
  <c r="BF13" i="5"/>
  <c r="J13" i="5"/>
  <c r="V12" i="5"/>
  <c r="AP11" i="5"/>
  <c r="BP10" i="5"/>
  <c r="I10" i="5"/>
  <c r="AD9" i="5"/>
  <c r="AU8" i="5"/>
  <c r="BI7" i="5"/>
  <c r="T7" i="5"/>
  <c r="AN6" i="5"/>
  <c r="BF5" i="5"/>
  <c r="J5" i="5"/>
  <c r="AN4" i="5"/>
  <c r="BF3" i="5"/>
  <c r="J3" i="5"/>
  <c r="AI2" i="5"/>
  <c r="BD16" i="5"/>
  <c r="F16" i="5"/>
  <c r="N15" i="5"/>
  <c r="AD14" i="5"/>
  <c r="BC13" i="5"/>
  <c r="C13" i="5"/>
  <c r="U12" i="5"/>
  <c r="AO11" i="5"/>
  <c r="BA10" i="5"/>
  <c r="F10" i="5"/>
  <c r="AB9" i="5"/>
  <c r="AO8" i="5"/>
  <c r="BH7" i="5"/>
  <c r="P7" i="5"/>
  <c r="AI6" i="5"/>
  <c r="BE5" i="5"/>
  <c r="H5" i="5"/>
  <c r="AB4" i="5"/>
  <c r="BB3" i="5"/>
  <c r="G3" i="5"/>
  <c r="AC2" i="5"/>
  <c r="BB16" i="5"/>
  <c r="C16" i="5"/>
  <c r="L15" i="5"/>
  <c r="AC14" i="5"/>
  <c r="AZ13" i="5"/>
  <c r="BK12" i="5"/>
  <c r="S12" i="5"/>
  <c r="AM11" i="5"/>
  <c r="AY10" i="5"/>
  <c r="D10" i="5"/>
  <c r="AA9" i="5"/>
  <c r="AN8" i="5"/>
  <c r="BG7" i="5"/>
  <c r="I7" i="5"/>
  <c r="AD6" i="5"/>
  <c r="BD5" i="5"/>
  <c r="G5" i="5"/>
  <c r="AA4" i="5"/>
  <c r="AT3" i="5"/>
  <c r="F3" i="5"/>
  <c r="AA2" i="5"/>
  <c r="AL16" i="5"/>
  <c r="AU15" i="5"/>
  <c r="BI14" i="5"/>
  <c r="R14" i="5"/>
  <c r="AE13" i="5"/>
  <c r="AV12" i="5"/>
  <c r="BP11" i="5"/>
  <c r="K11" i="5"/>
  <c r="AL10" i="5"/>
  <c r="BE9" i="5"/>
  <c r="B9" i="5"/>
  <c r="U8" i="5"/>
  <c r="AS7" i="5"/>
  <c r="BG6" i="5"/>
  <c r="O6" i="5"/>
  <c r="AM5" i="5"/>
  <c r="BB4" i="5"/>
  <c r="N4" i="5"/>
  <c r="AL3" i="5"/>
  <c r="BA2" i="5"/>
  <c r="J2" i="5"/>
  <c r="AF16" i="5"/>
  <c r="AT15" i="5"/>
  <c r="BE14" i="5"/>
  <c r="F14" i="5"/>
  <c r="AA13" i="5"/>
  <c r="AS12" i="5"/>
  <c r="BJ11" i="5"/>
  <c r="I11" i="5"/>
  <c r="AG10" i="5"/>
  <c r="BA9" i="5"/>
  <c r="BN8" i="5"/>
  <c r="S8" i="5"/>
  <c r="AF7" i="5"/>
  <c r="BC6" i="5"/>
  <c r="M6" i="5"/>
  <c r="AC5" i="5"/>
  <c r="BA4" i="5"/>
  <c r="J4" i="5"/>
  <c r="AC3" i="5"/>
  <c r="AZ2" i="5"/>
  <c r="I2" i="5"/>
  <c r="G11" i="5"/>
  <c r="AA5" i="5"/>
  <c r="F11" i="5"/>
  <c r="Y5" i="5"/>
  <c r="Z16" i="5"/>
  <c r="AC10" i="5"/>
  <c r="AY4" i="5"/>
  <c r="BD14" i="5"/>
  <c r="K6" i="5"/>
  <c r="BG11" i="5"/>
  <c r="S16" i="5"/>
  <c r="Z10" i="5"/>
  <c r="AW4" i="5"/>
  <c r="AS15" i="5"/>
  <c r="AU9" i="5"/>
  <c r="H4" i="5"/>
  <c r="AR15" i="5"/>
  <c r="AL9" i="5"/>
  <c r="F4" i="5"/>
  <c r="BL8" i="5"/>
  <c r="Y3" i="5"/>
  <c r="BI11" i="5"/>
  <c r="BC14" i="5"/>
  <c r="BJ8" i="5"/>
  <c r="T3" i="5"/>
  <c r="E14" i="5"/>
  <c r="R8" i="5"/>
  <c r="AY2" i="5"/>
  <c r="C14" i="5"/>
  <c r="P8" i="5"/>
  <c r="AW2" i="5"/>
  <c r="U13" i="5"/>
  <c r="AB7" i="5"/>
  <c r="H2" i="5"/>
  <c r="R13" i="5"/>
  <c r="Z7" i="5"/>
  <c r="G2" i="5"/>
  <c r="AR12" i="5"/>
  <c r="BA6" i="5"/>
  <c r="AQ12" i="5"/>
  <c r="AX6" i="5"/>
  <c r="J6" i="5"/>
  <c r="BA2" i="8"/>
  <c r="AK2" i="8"/>
  <c r="U2" i="8"/>
  <c r="E2" i="8"/>
  <c r="BK2" i="8"/>
  <c r="AT2" i="8"/>
  <c r="AC2" i="8"/>
  <c r="L2" i="8"/>
  <c r="BG2" i="8"/>
  <c r="AO2" i="8"/>
  <c r="W2" i="8"/>
  <c r="D2" i="8"/>
  <c r="BF2" i="8"/>
  <c r="BE2" i="8"/>
  <c r="AM2" i="8"/>
  <c r="T2" i="8"/>
  <c r="B2" i="8"/>
  <c r="BD2" i="8"/>
  <c r="BC2" i="8"/>
  <c r="BO2" i="8"/>
  <c r="AQ2" i="8"/>
  <c r="V2" i="8"/>
  <c r="A2" i="8"/>
  <c r="BL2" i="8"/>
  <c r="AL2" i="8"/>
  <c r="Q2" i="8"/>
  <c r="BI2" i="8"/>
  <c r="AI2" i="8"/>
  <c r="O2" i="8"/>
  <c r="BM2" i="8"/>
  <c r="AG2" i="8"/>
  <c r="I2" i="8"/>
  <c r="BJ2" i="8"/>
  <c r="AF2" i="8"/>
  <c r="H2" i="8"/>
  <c r="BH2" i="8"/>
  <c r="AE2" i="8"/>
  <c r="G2" i="8"/>
  <c r="BB2" i="8"/>
  <c r="AD2" i="8"/>
  <c r="F2" i="8"/>
  <c r="AZ2" i="8"/>
  <c r="AB2" i="8"/>
  <c r="C2" i="8"/>
  <c r="AX2" i="8"/>
  <c r="Z2" i="8"/>
  <c r="AW2" i="8"/>
  <c r="M2" i="8"/>
  <c r="AV2" i="8"/>
  <c r="K2" i="8"/>
  <c r="AU2" i="8"/>
  <c r="J2" i="8"/>
  <c r="AS2" i="8"/>
  <c r="AR2" i="8"/>
  <c r="AN2" i="8"/>
  <c r="BP2" i="8"/>
  <c r="BN2" i="8"/>
  <c r="AP2" i="8"/>
  <c r="AY2" i="8"/>
  <c r="AH2" i="8"/>
  <c r="Y2" i="8"/>
  <c r="X2" i="8"/>
  <c r="S2" i="8"/>
  <c r="R2" i="8"/>
  <c r="P2" i="8"/>
  <c r="N2" i="8"/>
  <c r="AJ2" i="8"/>
  <c r="AA2" i="8"/>
  <c r="BD4" i="9"/>
  <c r="AN4" i="9"/>
  <c r="X4" i="9"/>
  <c r="H4" i="9"/>
  <c r="BH3" i="9"/>
  <c r="AR3" i="9"/>
  <c r="AB3" i="9"/>
  <c r="L3" i="9"/>
  <c r="BL2" i="9"/>
  <c r="AV2" i="9"/>
  <c r="AF2" i="9"/>
  <c r="P2" i="9"/>
  <c r="A2" i="9"/>
  <c r="BK4" i="9"/>
  <c r="AT4" i="9"/>
  <c r="AC4" i="9"/>
  <c r="L4" i="9"/>
  <c r="BK3" i="9"/>
  <c r="AT3" i="9"/>
  <c r="AC3" i="9"/>
  <c r="K3" i="9"/>
  <c r="BJ2" i="9"/>
  <c r="AS2" i="9"/>
  <c r="AB2" i="9"/>
  <c r="K2" i="9"/>
  <c r="BE4" i="9"/>
  <c r="BB4" i="9"/>
  <c r="AJ4" i="9"/>
  <c r="R4" i="9"/>
  <c r="BP3" i="9"/>
  <c r="AX3" i="9"/>
  <c r="AF3" i="9"/>
  <c r="N3" i="9"/>
  <c r="BK2" i="9"/>
  <c r="AR2" i="9"/>
  <c r="Z2" i="9"/>
  <c r="H2" i="9"/>
  <c r="BA4" i="9"/>
  <c r="AI4" i="9"/>
  <c r="Q4" i="9"/>
  <c r="BO3" i="9"/>
  <c r="AW3" i="9"/>
  <c r="AE3" i="9"/>
  <c r="M3" i="9"/>
  <c r="BI2" i="9"/>
  <c r="AQ2" i="9"/>
  <c r="Y2" i="9"/>
  <c r="G2" i="9"/>
  <c r="AZ4" i="9"/>
  <c r="AH4" i="9"/>
  <c r="P4" i="9"/>
  <c r="BN3" i="9"/>
  <c r="AV3" i="9"/>
  <c r="AD3" i="9"/>
  <c r="J3" i="9"/>
  <c r="BH2" i="9"/>
  <c r="AP2" i="9"/>
  <c r="X2" i="9"/>
  <c r="F2" i="9"/>
  <c r="AY4" i="9"/>
  <c r="AG4" i="9"/>
  <c r="O4" i="9"/>
  <c r="BM3" i="9"/>
  <c r="AU3" i="9"/>
  <c r="AA3" i="9"/>
  <c r="I3" i="9"/>
  <c r="BG2" i="9"/>
  <c r="AO2" i="9"/>
  <c r="W2" i="9"/>
  <c r="E2" i="9"/>
  <c r="BP4" i="9"/>
  <c r="AX4" i="9"/>
  <c r="AF4" i="9"/>
  <c r="N4" i="9"/>
  <c r="BL3" i="9"/>
  <c r="AS3" i="9"/>
  <c r="Z3" i="9"/>
  <c r="H3" i="9"/>
  <c r="BF2" i="9"/>
  <c r="AN2" i="9"/>
  <c r="V2" i="9"/>
  <c r="D2" i="9"/>
  <c r="AU4" i="9"/>
  <c r="V4" i="9"/>
  <c r="BI3" i="9"/>
  <c r="AK3" i="9"/>
  <c r="G3" i="9"/>
  <c r="AZ2" i="9"/>
  <c r="AA2" i="9"/>
  <c r="AQ4" i="9"/>
  <c r="S4" i="9"/>
  <c r="BE3" i="9"/>
  <c r="AH3" i="9"/>
  <c r="D3" i="9"/>
  <c r="AW2" i="9"/>
  <c r="S2" i="9"/>
  <c r="BN4" i="9"/>
  <c r="AO4" i="9"/>
  <c r="K4" i="9"/>
  <c r="BC3" i="9"/>
  <c r="Y3" i="9"/>
  <c r="B3" i="9"/>
  <c r="AT2" i="9"/>
  <c r="Q2" i="9"/>
  <c r="BF4" i="9"/>
  <c r="W4" i="9"/>
  <c r="BD3" i="9"/>
  <c r="V3" i="9"/>
  <c r="BE2" i="9"/>
  <c r="AD2" i="9"/>
  <c r="BC4" i="9"/>
  <c r="U4" i="9"/>
  <c r="BB3" i="9"/>
  <c r="U3" i="9"/>
  <c r="BD2" i="9"/>
  <c r="AC2" i="9"/>
  <c r="AW4" i="9"/>
  <c r="T4" i="9"/>
  <c r="BA3" i="9"/>
  <c r="T3" i="9"/>
  <c r="BC2" i="9"/>
  <c r="U2" i="9"/>
  <c r="AV4" i="9"/>
  <c r="M4" i="9"/>
  <c r="AZ3" i="9"/>
  <c r="S3" i="9"/>
  <c r="BB2" i="9"/>
  <c r="T2" i="9"/>
  <c r="AS4" i="9"/>
  <c r="J4" i="9"/>
  <c r="AY3" i="9"/>
  <c r="R3" i="9"/>
  <c r="BA2" i="9"/>
  <c r="R2" i="9"/>
  <c r="AP4" i="9"/>
  <c r="G4" i="9"/>
  <c r="AP3" i="9"/>
  <c r="P3" i="9"/>
  <c r="AX2" i="9"/>
  <c r="N2" i="9"/>
  <c r="BI4" i="9"/>
  <c r="D4" i="9"/>
  <c r="W3" i="9"/>
  <c r="AJ2" i="9"/>
  <c r="BH4" i="9"/>
  <c r="C4" i="9"/>
  <c r="Q3" i="9"/>
  <c r="AI2" i="9"/>
  <c r="BG4" i="9"/>
  <c r="B4" i="9"/>
  <c r="O3" i="9"/>
  <c r="AH2" i="9"/>
  <c r="AR4" i="9"/>
  <c r="A4" i="9"/>
  <c r="F3" i="9"/>
  <c r="AG2" i="9"/>
  <c r="AM4" i="9"/>
  <c r="BJ3" i="9"/>
  <c r="E3" i="9"/>
  <c r="AE2" i="9"/>
  <c r="AK4" i="9"/>
  <c r="BF3" i="9"/>
  <c r="A3" i="9"/>
  <c r="M2" i="9"/>
  <c r="AA4" i="9"/>
  <c r="C3" i="9"/>
  <c r="Z4" i="9"/>
  <c r="BP2" i="9"/>
  <c r="Y4" i="9"/>
  <c r="BO2" i="9"/>
  <c r="F4" i="9"/>
  <c r="BM2" i="9"/>
  <c r="I4" i="9"/>
  <c r="BN2" i="9"/>
  <c r="BG3" i="9"/>
  <c r="AU2" i="9"/>
  <c r="AJ3" i="9"/>
  <c r="AI3" i="9"/>
  <c r="BM4" i="9"/>
  <c r="X3" i="9"/>
  <c r="AE4" i="9"/>
  <c r="AK2" i="9"/>
  <c r="AD4" i="9"/>
  <c r="O2" i="9"/>
  <c r="AB4" i="9"/>
  <c r="L2" i="9"/>
  <c r="E4" i="9"/>
  <c r="J2" i="9"/>
  <c r="BO4" i="9"/>
  <c r="AG3" i="9"/>
  <c r="AQ3" i="9"/>
  <c r="I2" i="9"/>
  <c r="BL4" i="9"/>
  <c r="AY2" i="9"/>
  <c r="BJ4" i="9"/>
  <c r="AM2" i="9"/>
  <c r="AL4" i="9"/>
  <c r="AL2" i="9"/>
  <c r="AO3" i="9"/>
  <c r="C2" i="9"/>
  <c r="AN3" i="9"/>
  <c r="B2" i="9"/>
  <c r="AM3" i="9"/>
  <c r="AL3" i="9"/>
  <c r="G63" i="1"/>
  <c r="AB61" i="1"/>
  <c r="AB63" i="1" s="1"/>
  <c r="BK2" i="6"/>
  <c r="AU2" i="6"/>
  <c r="AE2" i="6"/>
  <c r="O2" i="6"/>
  <c r="BM2" i="6"/>
  <c r="AV2" i="6"/>
  <c r="AD2" i="6"/>
  <c r="M2" i="6"/>
  <c r="BP2" i="6"/>
  <c r="AX2" i="6"/>
  <c r="AF2" i="6"/>
  <c r="L2" i="6"/>
  <c r="BD2" i="6"/>
  <c r="AK2" i="6"/>
  <c r="R2" i="6"/>
  <c r="BA2" i="6"/>
  <c r="AH2" i="6"/>
  <c r="N2" i="6"/>
  <c r="AY2" i="6"/>
  <c r="AC2" i="6"/>
  <c r="J2" i="6"/>
  <c r="AR2" i="6"/>
  <c r="V2" i="6"/>
  <c r="A2" i="6"/>
  <c r="BO2" i="6"/>
  <c r="AQ2" i="6"/>
  <c r="U2" i="6"/>
  <c r="BN2" i="6"/>
  <c r="AP2" i="6"/>
  <c r="T2" i="6"/>
  <c r="BL2" i="6"/>
  <c r="AO2" i="6"/>
  <c r="S2" i="6"/>
  <c r="BJ2" i="6"/>
  <c r="AN2" i="6"/>
  <c r="Q2" i="6"/>
  <c r="BH2" i="6"/>
  <c r="AB2" i="6"/>
  <c r="BI2" i="6"/>
  <c r="AA2" i="6"/>
  <c r="BG2" i="6"/>
  <c r="Z2" i="6"/>
  <c r="BE2" i="6"/>
  <c r="X2" i="6"/>
  <c r="BB2" i="6"/>
  <c r="P2" i="6"/>
  <c r="I2" i="6"/>
  <c r="H2" i="6"/>
  <c r="BF2" i="6"/>
  <c r="G2" i="6"/>
  <c r="AW2" i="6"/>
  <c r="D2" i="6"/>
  <c r="K2" i="6"/>
  <c r="F2" i="6"/>
  <c r="C2" i="6"/>
  <c r="AT2" i="6"/>
  <c r="AS2" i="6"/>
  <c r="AM2" i="6"/>
  <c r="AL2" i="6"/>
  <c r="E2" i="6"/>
  <c r="AJ2" i="6"/>
  <c r="B2" i="6"/>
  <c r="BC2" i="6"/>
  <c r="AZ2" i="6"/>
  <c r="AI2" i="6"/>
  <c r="AG2" i="6"/>
  <c r="Y2" i="6"/>
  <c r="W2" i="6"/>
  <c r="BP17" i="11"/>
  <c r="AZ17" i="11"/>
  <c r="AJ17" i="11"/>
  <c r="T17" i="11"/>
  <c r="D17" i="11"/>
  <c r="BD16" i="11"/>
  <c r="AN16" i="11"/>
  <c r="X16" i="11"/>
  <c r="H16" i="11"/>
  <c r="BH15" i="11"/>
  <c r="AR15" i="11"/>
  <c r="AB15" i="11"/>
  <c r="L15" i="11"/>
  <c r="BL14" i="11"/>
  <c r="AV14" i="11"/>
  <c r="AF14" i="11"/>
  <c r="P14" i="11"/>
  <c r="BP13" i="11"/>
  <c r="AZ13" i="11"/>
  <c r="AJ13" i="11"/>
  <c r="T13" i="11"/>
  <c r="D13" i="11"/>
  <c r="BD12" i="11"/>
  <c r="AN12" i="11"/>
  <c r="X12" i="11"/>
  <c r="H12" i="11"/>
  <c r="BH11" i="11"/>
  <c r="AR11" i="11"/>
  <c r="AB11" i="11"/>
  <c r="L11" i="11"/>
  <c r="BL10" i="11"/>
  <c r="AV10" i="11"/>
  <c r="AF10" i="11"/>
  <c r="P10" i="11"/>
  <c r="BP9" i="11"/>
  <c r="AZ9" i="11"/>
  <c r="AJ9" i="11"/>
  <c r="T9" i="11"/>
  <c r="D9" i="11"/>
  <c r="BD8" i="11"/>
  <c r="AN8" i="11"/>
  <c r="X8" i="11"/>
  <c r="H8" i="11"/>
  <c r="BH7" i="11"/>
  <c r="AR7" i="11"/>
  <c r="AB7" i="11"/>
  <c r="L7" i="11"/>
  <c r="BL6" i="11"/>
  <c r="AV6" i="11"/>
  <c r="AF6" i="11"/>
  <c r="P6" i="11"/>
  <c r="BP5" i="11"/>
  <c r="AZ5" i="11"/>
  <c r="AJ5" i="11"/>
  <c r="T5" i="11"/>
  <c r="D5" i="11"/>
  <c r="BD4" i="11"/>
  <c r="AN4" i="11"/>
  <c r="X4" i="11"/>
  <c r="H4" i="11"/>
  <c r="BH3" i="11"/>
  <c r="AR3" i="11"/>
  <c r="AB3" i="11"/>
  <c r="L3" i="11"/>
  <c r="BL2" i="11"/>
  <c r="AV2" i="11"/>
  <c r="AF2" i="11"/>
  <c r="P2" i="11"/>
  <c r="A2" i="11"/>
  <c r="BO17" i="11"/>
  <c r="AY17" i="11"/>
  <c r="AI17" i="11"/>
  <c r="S17" i="11"/>
  <c r="C17" i="11"/>
  <c r="BC16" i="11"/>
  <c r="AM16" i="11"/>
  <c r="W16" i="11"/>
  <c r="G16" i="11"/>
  <c r="BG15" i="11"/>
  <c r="AQ15" i="11"/>
  <c r="AA15" i="11"/>
  <c r="K15" i="11"/>
  <c r="BK14" i="11"/>
  <c r="AU14" i="11"/>
  <c r="AE14" i="11"/>
  <c r="O14" i="11"/>
  <c r="BO13" i="11"/>
  <c r="AY13" i="11"/>
  <c r="AI13" i="11"/>
  <c r="S13" i="11"/>
  <c r="C13" i="11"/>
  <c r="BC12" i="11"/>
  <c r="AM12" i="11"/>
  <c r="W12" i="11"/>
  <c r="G12" i="11"/>
  <c r="BG11" i="11"/>
  <c r="AQ11" i="11"/>
  <c r="AA11" i="11"/>
  <c r="K11" i="11"/>
  <c r="BK10" i="11"/>
  <c r="AU10" i="11"/>
  <c r="AE10" i="11"/>
  <c r="O10" i="11"/>
  <c r="BO9" i="11"/>
  <c r="AY9" i="11"/>
  <c r="AI9" i="11"/>
  <c r="S9" i="11"/>
  <c r="C9" i="11"/>
  <c r="BC8" i="11"/>
  <c r="AM8" i="11"/>
  <c r="W8" i="11"/>
  <c r="G8" i="11"/>
  <c r="BG7" i="11"/>
  <c r="AQ7" i="11"/>
  <c r="AA7" i="11"/>
  <c r="K7" i="11"/>
  <c r="BK6" i="11"/>
  <c r="AU6" i="11"/>
  <c r="AE6" i="11"/>
  <c r="O6" i="11"/>
  <c r="BO5" i="11"/>
  <c r="AY5" i="11"/>
  <c r="AI5" i="11"/>
  <c r="S5" i="11"/>
  <c r="C5" i="11"/>
  <c r="BC4" i="11"/>
  <c r="AM4" i="11"/>
  <c r="W4" i="11"/>
  <c r="G4" i="11"/>
  <c r="BG3" i="11"/>
  <c r="AQ3" i="11"/>
  <c r="AA3" i="11"/>
  <c r="K3" i="11"/>
  <c r="BK2" i="11"/>
  <c r="AU2" i="11"/>
  <c r="AE2" i="11"/>
  <c r="O2" i="11"/>
  <c r="BN17" i="11"/>
  <c r="AX17" i="11"/>
  <c r="AH17" i="11"/>
  <c r="R17" i="11"/>
  <c r="B17" i="11"/>
  <c r="BB16" i="11"/>
  <c r="AL16" i="11"/>
  <c r="V16" i="11"/>
  <c r="F16" i="11"/>
  <c r="BF15" i="11"/>
  <c r="AP15" i="11"/>
  <c r="Z15" i="11"/>
  <c r="J15" i="11"/>
  <c r="BJ14" i="11"/>
  <c r="AT14" i="11"/>
  <c r="AD14" i="11"/>
  <c r="N14" i="11"/>
  <c r="BN13" i="11"/>
  <c r="AX13" i="11"/>
  <c r="AH13" i="11"/>
  <c r="R13" i="11"/>
  <c r="B13" i="11"/>
  <c r="BB12" i="11"/>
  <c r="AL12" i="11"/>
  <c r="V12" i="11"/>
  <c r="F12" i="11"/>
  <c r="BF11" i="11"/>
  <c r="AP11" i="11"/>
  <c r="Z11" i="11"/>
  <c r="J11" i="11"/>
  <c r="BJ10" i="11"/>
  <c r="AT10" i="11"/>
  <c r="AD10" i="11"/>
  <c r="N10" i="11"/>
  <c r="BN9" i="11"/>
  <c r="AX9" i="11"/>
  <c r="AH9" i="11"/>
  <c r="R9" i="11"/>
  <c r="B9" i="11"/>
  <c r="BB8" i="11"/>
  <c r="AL8" i="11"/>
  <c r="V8" i="11"/>
  <c r="F8" i="11"/>
  <c r="BF7" i="11"/>
  <c r="AP7" i="11"/>
  <c r="Z7" i="11"/>
  <c r="J7" i="11"/>
  <c r="BJ6" i="11"/>
  <c r="AT6" i="11"/>
  <c r="AD6" i="11"/>
  <c r="N6" i="11"/>
  <c r="BN5" i="11"/>
  <c r="AX5" i="11"/>
  <c r="AH5" i="11"/>
  <c r="R5" i="11"/>
  <c r="B5" i="11"/>
  <c r="BB4" i="11"/>
  <c r="AL4" i="11"/>
  <c r="V4" i="11"/>
  <c r="F4" i="11"/>
  <c r="BF3" i="11"/>
  <c r="AP3" i="11"/>
  <c r="Z3" i="11"/>
  <c r="J3" i="11"/>
  <c r="BJ2" i="11"/>
  <c r="AT2" i="11"/>
  <c r="AD2" i="11"/>
  <c r="N2" i="11"/>
  <c r="BL17" i="11"/>
  <c r="AV17" i="11"/>
  <c r="AF17" i="11"/>
  <c r="P17" i="11"/>
  <c r="BP16" i="11"/>
  <c r="AZ16" i="11"/>
  <c r="AJ16" i="11"/>
  <c r="T16" i="11"/>
  <c r="D16" i="11"/>
  <c r="BD15" i="11"/>
  <c r="AN15" i="11"/>
  <c r="X15" i="11"/>
  <c r="H15" i="11"/>
  <c r="BH14" i="11"/>
  <c r="AR14" i="11"/>
  <c r="AB14" i="11"/>
  <c r="L14" i="11"/>
  <c r="BL13" i="11"/>
  <c r="AV13" i="11"/>
  <c r="AF13" i="11"/>
  <c r="P13" i="11"/>
  <c r="BP12" i="11"/>
  <c r="AZ12" i="11"/>
  <c r="AJ12" i="11"/>
  <c r="T12" i="11"/>
  <c r="D12" i="11"/>
  <c r="BD11" i="11"/>
  <c r="AN11" i="11"/>
  <c r="X11" i="11"/>
  <c r="H11" i="11"/>
  <c r="BH10" i="11"/>
  <c r="AR10" i="11"/>
  <c r="AB10" i="11"/>
  <c r="L10" i="11"/>
  <c r="BL9" i="11"/>
  <c r="AV9" i="11"/>
  <c r="AF9" i="11"/>
  <c r="P9" i="11"/>
  <c r="BP8" i="11"/>
  <c r="AZ8" i="11"/>
  <c r="AJ8" i="11"/>
  <c r="T8" i="11"/>
  <c r="D8" i="11"/>
  <c r="BD7" i="11"/>
  <c r="AN7" i="11"/>
  <c r="X7" i="11"/>
  <c r="H7" i="11"/>
  <c r="BH6" i="11"/>
  <c r="AR6" i="11"/>
  <c r="AB6" i="11"/>
  <c r="L6" i="11"/>
  <c r="BL5" i="11"/>
  <c r="AV5" i="11"/>
  <c r="AF5" i="11"/>
  <c r="P5" i="11"/>
  <c r="BP4" i="11"/>
  <c r="AZ4" i="11"/>
  <c r="AJ4" i="11"/>
  <c r="T4" i="11"/>
  <c r="D4" i="11"/>
  <c r="BD3" i="11"/>
  <c r="AN3" i="11"/>
  <c r="BK17" i="11"/>
  <c r="BM17" i="11"/>
  <c r="AQ17" i="11"/>
  <c r="W17" i="11"/>
  <c r="BO16" i="11"/>
  <c r="AU16" i="11"/>
  <c r="AA16" i="11"/>
  <c r="C16" i="11"/>
  <c r="AY15" i="11"/>
  <c r="AE15" i="11"/>
  <c r="G15" i="11"/>
  <c r="BC14" i="11"/>
  <c r="AI14" i="11"/>
  <c r="K14" i="11"/>
  <c r="BG13" i="11"/>
  <c r="AM13" i="11"/>
  <c r="O13" i="11"/>
  <c r="BK12" i="11"/>
  <c r="AQ12" i="11"/>
  <c r="S12" i="11"/>
  <c r="BO11" i="11"/>
  <c r="AU11" i="11"/>
  <c r="W11" i="11"/>
  <c r="C11" i="11"/>
  <c r="AY10" i="11"/>
  <c r="AA10" i="11"/>
  <c r="G10" i="11"/>
  <c r="BC9" i="11"/>
  <c r="AE9" i="11"/>
  <c r="K9" i="11"/>
  <c r="BG8" i="11"/>
  <c r="AI8" i="11"/>
  <c r="O8" i="11"/>
  <c r="BK7" i="11"/>
  <c r="AM7" i="11"/>
  <c r="S7" i="11"/>
  <c r="BO6" i="11"/>
  <c r="AQ6" i="11"/>
  <c r="W6" i="11"/>
  <c r="C6" i="11"/>
  <c r="AU5" i="11"/>
  <c r="AA5" i="11"/>
  <c r="G5" i="11"/>
  <c r="AY4" i="11"/>
  <c r="AE4" i="11"/>
  <c r="K4" i="11"/>
  <c r="BC3" i="11"/>
  <c r="AI3" i="11"/>
  <c r="P3" i="11"/>
  <c r="BM2" i="11"/>
  <c r="AQ2" i="11"/>
  <c r="X2" i="11"/>
  <c r="E2" i="11"/>
  <c r="BI17" i="11"/>
  <c r="AO17" i="11"/>
  <c r="U17" i="11"/>
  <c r="BM16" i="11"/>
  <c r="AS16" i="11"/>
  <c r="Y16" i="11"/>
  <c r="A16" i="11"/>
  <c r="AW15" i="11"/>
  <c r="AC15" i="11"/>
  <c r="E15" i="11"/>
  <c r="BA14" i="11"/>
  <c r="AG14" i="11"/>
  <c r="I14" i="11"/>
  <c r="BE13" i="11"/>
  <c r="AK13" i="11"/>
  <c r="M13" i="11"/>
  <c r="BI12" i="11"/>
  <c r="AO12" i="11"/>
  <c r="Q12" i="11"/>
  <c r="BM11" i="11"/>
  <c r="AS11" i="11"/>
  <c r="U11" i="11"/>
  <c r="A11" i="11"/>
  <c r="AW10" i="11"/>
  <c r="Y10" i="11"/>
  <c r="E10" i="11"/>
  <c r="BA9" i="11"/>
  <c r="AC9" i="11"/>
  <c r="I9" i="11"/>
  <c r="BE8" i="11"/>
  <c r="AG8" i="11"/>
  <c r="M8" i="11"/>
  <c r="BI7" i="11"/>
  <c r="AK7" i="11"/>
  <c r="Q7" i="11"/>
  <c r="BM6" i="11"/>
  <c r="AO6" i="11"/>
  <c r="U6" i="11"/>
  <c r="A6" i="11"/>
  <c r="AS5" i="11"/>
  <c r="Y5" i="11"/>
  <c r="E5" i="11"/>
  <c r="AW4" i="11"/>
  <c r="AC4" i="11"/>
  <c r="I4" i="11"/>
  <c r="BA3" i="11"/>
  <c r="AG3" i="11"/>
  <c r="N3" i="11"/>
  <c r="BH2" i="11"/>
  <c r="AO2" i="11"/>
  <c r="V2" i="11"/>
  <c r="C2" i="11"/>
  <c r="BJ17" i="11"/>
  <c r="BD17" i="11"/>
  <c r="AD17" i="11"/>
  <c r="H17" i="11"/>
  <c r="AX16" i="11"/>
  <c r="AB16" i="11"/>
  <c r="BP15" i="11"/>
  <c r="AT15" i="11"/>
  <c r="T15" i="11"/>
  <c r="BN14" i="11"/>
  <c r="AN14" i="11"/>
  <c r="R14" i="11"/>
  <c r="BH13" i="11"/>
  <c r="AG13" i="11"/>
  <c r="J13" i="11"/>
  <c r="BA12" i="11"/>
  <c r="AD12" i="11"/>
  <c r="E12" i="11"/>
  <c r="AX11" i="11"/>
  <c r="Y11" i="11"/>
  <c r="BP10" i="11"/>
  <c r="AP10" i="11"/>
  <c r="T10" i="11"/>
  <c r="BJ9" i="11"/>
  <c r="AN9" i="11"/>
  <c r="N9" i="11"/>
  <c r="BH8" i="11"/>
  <c r="AF8" i="11"/>
  <c r="J8" i="11"/>
  <c r="AZ7" i="11"/>
  <c r="AD7" i="11"/>
  <c r="D7" i="11"/>
  <c r="AX6" i="11"/>
  <c r="X6" i="11"/>
  <c r="BM5" i="11"/>
  <c r="AP5" i="11"/>
  <c r="Q5" i="11"/>
  <c r="BJ4" i="11"/>
  <c r="AK4" i="11"/>
  <c r="N4" i="11"/>
  <c r="BE3" i="11"/>
  <c r="AF3" i="11"/>
  <c r="H3" i="11"/>
  <c r="BC2" i="11"/>
  <c r="AH2" i="11"/>
  <c r="J2" i="11"/>
  <c r="BH17" i="11"/>
  <c r="AK17" i="11"/>
  <c r="J17" i="11"/>
  <c r="AY16" i="11"/>
  <c r="Z16" i="11"/>
  <c r="BN15" i="11"/>
  <c r="AM15" i="11"/>
  <c r="P15" i="11"/>
  <c r="BE14" i="11"/>
  <c r="AC14" i="11"/>
  <c r="E14" i="11"/>
  <c r="AT13" i="11"/>
  <c r="W13" i="11"/>
  <c r="BL12" i="11"/>
  <c r="AI12" i="11"/>
  <c r="L12" i="11"/>
  <c r="BA11" i="11"/>
  <c r="AD11" i="11"/>
  <c r="B11" i="11"/>
  <c r="AO10" i="11"/>
  <c r="R10" i="11"/>
  <c r="BG9" i="11"/>
  <c r="AG9" i="11"/>
  <c r="G9" i="11"/>
  <c r="AV8" i="11"/>
  <c r="Y8" i="11"/>
  <c r="BN7" i="11"/>
  <c r="AL7" i="11"/>
  <c r="N7" i="11"/>
  <c r="BC6" i="11"/>
  <c r="AC6" i="11"/>
  <c r="E6" i="11"/>
  <c r="AR5" i="11"/>
  <c r="U5" i="11"/>
  <c r="BI4" i="11"/>
  <c r="AH4" i="11"/>
  <c r="J4" i="11"/>
  <c r="AX3" i="11"/>
  <c r="X3" i="11"/>
  <c r="B3" i="11"/>
  <c r="AS2" i="11"/>
  <c r="U2" i="11"/>
  <c r="BG17" i="11"/>
  <c r="AG17" i="11"/>
  <c r="I17" i="11"/>
  <c r="BF17" i="11"/>
  <c r="AE17" i="11"/>
  <c r="G17" i="11"/>
  <c r="AV16" i="11"/>
  <c r="S16" i="11"/>
  <c r="BL15" i="11"/>
  <c r="AK15" i="11"/>
  <c r="N15" i="11"/>
  <c r="BB14" i="11"/>
  <c r="Z14" i="11"/>
  <c r="C14" i="11"/>
  <c r="AR13" i="11"/>
  <c r="U13" i="11"/>
  <c r="BH12" i="11"/>
  <c r="AG12" i="11"/>
  <c r="J12" i="11"/>
  <c r="AY11" i="11"/>
  <c r="V11" i="11"/>
  <c r="BN10" i="11"/>
  <c r="AM10" i="11"/>
  <c r="M10" i="11"/>
  <c r="BE9" i="11"/>
  <c r="AB9" i="11"/>
  <c r="E9" i="11"/>
  <c r="AT8" i="11"/>
  <c r="S8" i="11"/>
  <c r="BL7" i="11"/>
  <c r="AI7" i="11"/>
  <c r="I7" i="11"/>
  <c r="BA6" i="11"/>
  <c r="Z6" i="11"/>
  <c r="B6" i="11"/>
  <c r="AO5" i="11"/>
  <c r="N5" i="11"/>
  <c r="BG4" i="11"/>
  <c r="AF4" i="11"/>
  <c r="C4" i="11"/>
  <c r="AV3" i="11"/>
  <c r="V3" i="11"/>
  <c r="BP2" i="11"/>
  <c r="AP2" i="11"/>
  <c r="S2" i="11"/>
  <c r="BE17" i="11"/>
  <c r="AC17" i="11"/>
  <c r="F17" i="11"/>
  <c r="AT16" i="11"/>
  <c r="R16" i="11"/>
  <c r="BK15" i="11"/>
  <c r="AJ15" i="11"/>
  <c r="M15" i="11"/>
  <c r="AZ14" i="11"/>
  <c r="Y14" i="11"/>
  <c r="B14" i="11"/>
  <c r="AQ13" i="11"/>
  <c r="Q13" i="11"/>
  <c r="BG12" i="11"/>
  <c r="AF12" i="11"/>
  <c r="I12" i="11"/>
  <c r="AW11" i="11"/>
  <c r="T11" i="11"/>
  <c r="BM10" i="11"/>
  <c r="AL10" i="11"/>
  <c r="K10" i="11"/>
  <c r="BD9" i="11"/>
  <c r="AA9" i="11"/>
  <c r="A9" i="11"/>
  <c r="AS8" i="11"/>
  <c r="R8" i="11"/>
  <c r="BJ7" i="11"/>
  <c r="AH7" i="11"/>
  <c r="G7" i="11"/>
  <c r="AZ6" i="11"/>
  <c r="Y6" i="11"/>
  <c r="BK5" i="11"/>
  <c r="AN5" i="11"/>
  <c r="M5" i="11"/>
  <c r="BF4" i="11"/>
  <c r="AD4" i="11"/>
  <c r="B4" i="11"/>
  <c r="AU3" i="11"/>
  <c r="U3" i="11"/>
  <c r="BO2" i="11"/>
  <c r="AN2" i="11"/>
  <c r="R2" i="11"/>
  <c r="BC17" i="11"/>
  <c r="AB17" i="11"/>
  <c r="E17" i="11"/>
  <c r="AR16" i="11"/>
  <c r="Q16" i="11"/>
  <c r="BJ15" i="11"/>
  <c r="AI15" i="11"/>
  <c r="I15" i="11"/>
  <c r="AY14" i="11"/>
  <c r="X14" i="11"/>
  <c r="A14" i="11"/>
  <c r="AP13" i="11"/>
  <c r="N13" i="11"/>
  <c r="BF12" i="11"/>
  <c r="AE12" i="11"/>
  <c r="C12" i="11"/>
  <c r="AV11" i="11"/>
  <c r="S11" i="11"/>
  <c r="BI10" i="11"/>
  <c r="AK10" i="11"/>
  <c r="J10" i="11"/>
  <c r="BB9" i="11"/>
  <c r="Z9" i="11"/>
  <c r="BO8" i="11"/>
  <c r="AR8" i="11"/>
  <c r="Q8" i="11"/>
  <c r="BE7" i="11"/>
  <c r="AG7" i="11"/>
  <c r="F7" i="11"/>
  <c r="AY6" i="11"/>
  <c r="V6" i="11"/>
  <c r="BJ5" i="11"/>
  <c r="AM5" i="11"/>
  <c r="L5" i="11"/>
  <c r="BE4" i="11"/>
  <c r="AB4" i="11"/>
  <c r="A4" i="11"/>
  <c r="AT3" i="11"/>
  <c r="T3" i="11"/>
  <c r="BN2" i="11"/>
  <c r="AM2" i="11"/>
  <c r="Q2" i="11"/>
  <c r="BB17" i="11"/>
  <c r="AA17" i="11"/>
  <c r="A17" i="11"/>
  <c r="AQ16" i="11"/>
  <c r="P16" i="11"/>
  <c r="BI15" i="11"/>
  <c r="AH15" i="11"/>
  <c r="F15" i="11"/>
  <c r="AX14" i="11"/>
  <c r="W14" i="11"/>
  <c r="BM13" i="11"/>
  <c r="AO13" i="11"/>
  <c r="L13" i="11"/>
  <c r="BE12" i="11"/>
  <c r="AC12" i="11"/>
  <c r="B12" i="11"/>
  <c r="AT11" i="11"/>
  <c r="R11" i="11"/>
  <c r="BG10" i="11"/>
  <c r="AJ10" i="11"/>
  <c r="I10" i="11"/>
  <c r="AW9" i="11"/>
  <c r="Y9" i="11"/>
  <c r="BN8" i="11"/>
  <c r="AQ8" i="11"/>
  <c r="P8" i="11"/>
  <c r="BC7" i="11"/>
  <c r="AF7" i="11"/>
  <c r="E7" i="11"/>
  <c r="AW6" i="11"/>
  <c r="T6" i="11"/>
  <c r="BI5" i="11"/>
  <c r="AL5" i="11"/>
  <c r="K5" i="11"/>
  <c r="BA4" i="11"/>
  <c r="AA4" i="11"/>
  <c r="BP3" i="11"/>
  <c r="AS3" i="11"/>
  <c r="S3" i="11"/>
  <c r="BI2" i="11"/>
  <c r="AL2" i="11"/>
  <c r="M2" i="11"/>
  <c r="BA17" i="11"/>
  <c r="Z17" i="11"/>
  <c r="BN16" i="11"/>
  <c r="AP16" i="11"/>
  <c r="O16" i="11"/>
  <c r="BE15" i="11"/>
  <c r="AG15" i="11"/>
  <c r="D15" i="11"/>
  <c r="AW14" i="11"/>
  <c r="V14" i="11"/>
  <c r="BK13" i="11"/>
  <c r="AN13" i="11"/>
  <c r="K13" i="11"/>
  <c r="AY12" i="11"/>
  <c r="AB12" i="11"/>
  <c r="A12" i="11"/>
  <c r="AO11" i="11"/>
  <c r="Q11" i="11"/>
  <c r="BF10" i="11"/>
  <c r="AI10" i="11"/>
  <c r="H10" i="11"/>
  <c r="AU9" i="11"/>
  <c r="X9" i="11"/>
  <c r="BM8" i="11"/>
  <c r="AP8" i="11"/>
  <c r="N8" i="11"/>
  <c r="BB7" i="11"/>
  <c r="AE7" i="11"/>
  <c r="C7" i="11"/>
  <c r="AS6" i="11"/>
  <c r="S6" i="11"/>
  <c r="BH5" i="11"/>
  <c r="AK5" i="11"/>
  <c r="J5" i="11"/>
  <c r="AX4" i="11"/>
  <c r="Z4" i="11"/>
  <c r="BO3" i="11"/>
  <c r="AO3" i="11"/>
  <c r="R3" i="11"/>
  <c r="BG2" i="11"/>
  <c r="AK2" i="11"/>
  <c r="L2" i="11"/>
  <c r="AW17" i="11"/>
  <c r="Y17" i="11"/>
  <c r="BL16" i="11"/>
  <c r="AO16" i="11"/>
  <c r="N16" i="11"/>
  <c r="BC15" i="11"/>
  <c r="AF15" i="11"/>
  <c r="C15" i="11"/>
  <c r="AS14" i="11"/>
  <c r="U14" i="11"/>
  <c r="BJ13" i="11"/>
  <c r="AL13" i="11"/>
  <c r="I13" i="11"/>
  <c r="AX12" i="11"/>
  <c r="AA12" i="11"/>
  <c r="AU17" i="11"/>
  <c r="X17" i="11"/>
  <c r="BK16" i="11"/>
  <c r="AK16" i="11"/>
  <c r="M16" i="11"/>
  <c r="BB15" i="11"/>
  <c r="AD15" i="11"/>
  <c r="B15" i="11"/>
  <c r="AQ14" i="11"/>
  <c r="T14" i="11"/>
  <c r="BI13" i="11"/>
  <c r="AE13" i="11"/>
  <c r="H13" i="11"/>
  <c r="AW12" i="11"/>
  <c r="Z12" i="11"/>
  <c r="BN11" i="11"/>
  <c r="AL11" i="11"/>
  <c r="O11" i="11"/>
  <c r="BD10" i="11"/>
  <c r="AG10" i="11"/>
  <c r="D10" i="11"/>
  <c r="AS9" i="11"/>
  <c r="V9" i="11"/>
  <c r="BK8" i="11"/>
  <c r="AK8" i="11"/>
  <c r="K8" i="11"/>
  <c r="AY7" i="11"/>
  <c r="Y7" i="11"/>
  <c r="A7" i="11"/>
  <c r="AN6" i="11"/>
  <c r="Q6" i="11"/>
  <c r="BF5" i="11"/>
  <c r="AE5" i="11"/>
  <c r="H5" i="11"/>
  <c r="AU4" i="11"/>
  <c r="U4" i="11"/>
  <c r="BM3" i="11"/>
  <c r="AL3" i="11"/>
  <c r="O3" i="11"/>
  <c r="BE2" i="11"/>
  <c r="AI2" i="11"/>
  <c r="I2" i="11"/>
  <c r="AT17" i="11"/>
  <c r="BH16" i="11"/>
  <c r="J16" i="11"/>
  <c r="AR17" i="11"/>
  <c r="BF16" i="11"/>
  <c r="E16" i="11"/>
  <c r="S15" i="11"/>
  <c r="AK14" i="11"/>
  <c r="BA13" i="11"/>
  <c r="BO12" i="11"/>
  <c r="O12" i="11"/>
  <c r="AI11" i="11"/>
  <c r="BC10" i="11"/>
  <c r="Q10" i="11"/>
  <c r="AL9" i="11"/>
  <c r="BA8" i="11"/>
  <c r="E8" i="11"/>
  <c r="AC7" i="11"/>
  <c r="BD6" i="11"/>
  <c r="H6" i="11"/>
  <c r="AB5" i="11"/>
  <c r="AT4" i="11"/>
  <c r="E4" i="11"/>
  <c r="AC3" i="11"/>
  <c r="AZ2" i="11"/>
  <c r="G2" i="11"/>
  <c r="AM17" i="11"/>
  <c r="AW16" i="11"/>
  <c r="BM15" i="11"/>
  <c r="O15" i="11"/>
  <c r="AA14" i="11"/>
  <c r="AS13" i="11"/>
  <c r="BJ12" i="11"/>
  <c r="K12" i="11"/>
  <c r="AF11" i="11"/>
  <c r="AZ10" i="11"/>
  <c r="B10" i="11"/>
  <c r="W9" i="11"/>
  <c r="AW8" i="11"/>
  <c r="A8" i="11"/>
  <c r="U7" i="11"/>
  <c r="AM6" i="11"/>
  <c r="D6" i="11"/>
  <c r="W5" i="11"/>
  <c r="AQ4" i="11"/>
  <c r="BK3" i="11"/>
  <c r="Q3" i="11"/>
  <c r="AW2" i="11"/>
  <c r="B2" i="11"/>
  <c r="V17" i="11"/>
  <c r="AH16" i="11"/>
  <c r="AZ15" i="11"/>
  <c r="BP14" i="11"/>
  <c r="Q14" i="11"/>
  <c r="AC13" i="11"/>
  <c r="AU12" i="11"/>
  <c r="BL11" i="11"/>
  <c r="AC11" i="11"/>
  <c r="AS10" i="11"/>
  <c r="BM9" i="11"/>
  <c r="Q9" i="11"/>
  <c r="AO8" i="11"/>
  <c r="BO7" i="11"/>
  <c r="R7" i="11"/>
  <c r="AK6" i="11"/>
  <c r="BE5" i="11"/>
  <c r="O5" i="11"/>
  <c r="AO4" i="11"/>
  <c r="BI3" i="11"/>
  <c r="I3" i="11"/>
  <c r="AJ2" i="11"/>
  <c r="AS17" i="11"/>
  <c r="AG16" i="11"/>
  <c r="AO15" i="11"/>
  <c r="AO14" i="11"/>
  <c r="AW13" i="11"/>
  <c r="AT12" i="11"/>
  <c r="BE11" i="11"/>
  <c r="E11" i="11"/>
  <c r="S10" i="11"/>
  <c r="U9" i="11"/>
  <c r="AD8" i="11"/>
  <c r="AU7" i="11"/>
  <c r="BF6" i="11"/>
  <c r="F6" i="11"/>
  <c r="AP17" i="11"/>
  <c r="AF16" i="11"/>
  <c r="AL15" i="11"/>
  <c r="AM14" i="11"/>
  <c r="AU13" i="11"/>
  <c r="AS12" i="11"/>
  <c r="BC11" i="11"/>
  <c r="D11" i="11"/>
  <c r="F10" i="11"/>
  <c r="O9" i="11"/>
  <c r="AC8" i="11"/>
  <c r="AT7" i="11"/>
  <c r="BE6" i="11"/>
  <c r="BG5" i="11"/>
  <c r="A5" i="11"/>
  <c r="Q4" i="11"/>
  <c r="AE3" i="11"/>
  <c r="AX2" i="11"/>
  <c r="AN17" i="11"/>
  <c r="AE16" i="11"/>
  <c r="Y15" i="11"/>
  <c r="AL14" i="11"/>
  <c r="AD13" i="11"/>
  <c r="AR12" i="11"/>
  <c r="BB11" i="11"/>
  <c r="BO10" i="11"/>
  <c r="C10" i="11"/>
  <c r="M9" i="11"/>
  <c r="AB8" i="11"/>
  <c r="AS7" i="11"/>
  <c r="BB6" i="11"/>
  <c r="BD5" i="11"/>
  <c r="BO4" i="11"/>
  <c r="P4" i="11"/>
  <c r="AD3" i="11"/>
  <c r="AR2" i="11"/>
  <c r="AL17" i="11"/>
  <c r="AD16" i="11"/>
  <c r="W15" i="11"/>
  <c r="AJ14" i="11"/>
  <c r="AB13" i="11"/>
  <c r="AP12" i="11"/>
  <c r="AZ11" i="11"/>
  <c r="BE10" i="11"/>
  <c r="A10" i="11"/>
  <c r="L9" i="11"/>
  <c r="AA8" i="11"/>
  <c r="AO7" i="11"/>
  <c r="AP6" i="11"/>
  <c r="BC5" i="11"/>
  <c r="BN4" i="11"/>
  <c r="O4" i="11"/>
  <c r="Y3" i="11"/>
  <c r="AG2" i="11"/>
  <c r="Q17" i="11"/>
  <c r="AC16" i="11"/>
  <c r="V15" i="11"/>
  <c r="AH14" i="11"/>
  <c r="AA13" i="11"/>
  <c r="AK12" i="11"/>
  <c r="AM11" i="11"/>
  <c r="BB10" i="11"/>
  <c r="BK9" i="11"/>
  <c r="J9" i="11"/>
  <c r="Z8" i="11"/>
  <c r="AJ7" i="11"/>
  <c r="AL6" i="11"/>
  <c r="BB5" i="11"/>
  <c r="BM4" i="11"/>
  <c r="M4" i="11"/>
  <c r="W3" i="11"/>
  <c r="AC2" i="11"/>
  <c r="O17" i="11"/>
  <c r="U16" i="11"/>
  <c r="U15" i="11"/>
  <c r="S14" i="11"/>
  <c r="Z13" i="11"/>
  <c r="AH12" i="11"/>
  <c r="AK11" i="11"/>
  <c r="BA10" i="11"/>
  <c r="BI9" i="11"/>
  <c r="H9" i="11"/>
  <c r="U8" i="11"/>
  <c r="W7" i="11"/>
  <c r="AJ6" i="11"/>
  <c r="BA5" i="11"/>
  <c r="BL4" i="11"/>
  <c r="L4" i="11"/>
  <c r="M3" i="11"/>
  <c r="AB2" i="11"/>
  <c r="M17" i="11"/>
  <c r="K16" i="11"/>
  <c r="Q15" i="11"/>
  <c r="J14" i="11"/>
  <c r="X13" i="11"/>
  <c r="U12" i="11"/>
  <c r="AH11" i="11"/>
  <c r="AQ10" i="11"/>
  <c r="BF9" i="11"/>
  <c r="BL8" i="11"/>
  <c r="I8" i="11"/>
  <c r="T7" i="11"/>
  <c r="AH6" i="11"/>
  <c r="AT5" i="11"/>
  <c r="BH4" i="11"/>
  <c r="BL3" i="11"/>
  <c r="F3" i="11"/>
  <c r="Z2" i="11"/>
  <c r="N17" i="11"/>
  <c r="AU15" i="11"/>
  <c r="BF13" i="11"/>
  <c r="N12" i="11"/>
  <c r="AN10" i="11"/>
  <c r="AD9" i="11"/>
  <c r="AX7" i="11"/>
  <c r="M6" i="11"/>
  <c r="AV4" i="11"/>
  <c r="AK3" i="11"/>
  <c r="T2" i="11"/>
  <c r="L17" i="11"/>
  <c r="AS15" i="11"/>
  <c r="BD13" i="11"/>
  <c r="M12" i="11"/>
  <c r="AH10" i="11"/>
  <c r="F9" i="11"/>
  <c r="AW7" i="11"/>
  <c r="K6" i="11"/>
  <c r="AS4" i="11"/>
  <c r="AJ3" i="11"/>
  <c r="K2" i="11"/>
  <c r="K17" i="11"/>
  <c r="R15" i="11"/>
  <c r="BC13" i="11"/>
  <c r="BP11" i="11"/>
  <c r="AC10" i="11"/>
  <c r="BJ8" i="11"/>
  <c r="AV7" i="11"/>
  <c r="J6" i="11"/>
  <c r="AR4" i="11"/>
  <c r="AH3" i="11"/>
  <c r="H2" i="11"/>
  <c r="BJ16" i="11"/>
  <c r="A15" i="11"/>
  <c r="BB13" i="11"/>
  <c r="BK11" i="11"/>
  <c r="Z10" i="11"/>
  <c r="BI8" i="11"/>
  <c r="V7" i="11"/>
  <c r="I6" i="11"/>
  <c r="AP4" i="11"/>
  <c r="G3" i="11"/>
  <c r="F2" i="11"/>
  <c r="BI16" i="11"/>
  <c r="BO14" i="11"/>
  <c r="Y13" i="11"/>
  <c r="BJ11" i="11"/>
  <c r="X10" i="11"/>
  <c r="BF8" i="11"/>
  <c r="P7" i="11"/>
  <c r="G6" i="11"/>
  <c r="AI4" i="11"/>
  <c r="E3" i="11"/>
  <c r="D2" i="11"/>
  <c r="BE16" i="11"/>
  <c r="BI14" i="11"/>
  <c r="G13" i="11"/>
  <c r="AJ11" i="11"/>
  <c r="V10" i="11"/>
  <c r="AX8" i="11"/>
  <c r="M7" i="11"/>
  <c r="AQ5" i="11"/>
  <c r="Y4" i="11"/>
  <c r="C3" i="11"/>
  <c r="BG16" i="11"/>
  <c r="H14" i="11"/>
  <c r="AE11" i="11"/>
  <c r="AM9" i="11"/>
  <c r="BI6" i="11"/>
  <c r="AG4" i="11"/>
  <c r="AY2" i="11"/>
  <c r="BA16" i="11"/>
  <c r="G14" i="11"/>
  <c r="P11" i="11"/>
  <c r="AK9" i="11"/>
  <c r="BG6" i="11"/>
  <c r="S4" i="11"/>
  <c r="AA2" i="11"/>
  <c r="AI16" i="11"/>
  <c r="F14" i="11"/>
  <c r="N11" i="11"/>
  <c r="AY8" i="11"/>
  <c r="AI6" i="11"/>
  <c r="R4" i="11"/>
  <c r="Y2" i="11"/>
  <c r="L16" i="11"/>
  <c r="D14" i="11"/>
  <c r="M11" i="11"/>
  <c r="AU8" i="11"/>
  <c r="AG6" i="11"/>
  <c r="BN3" i="11"/>
  <c r="W2" i="11"/>
  <c r="I16" i="11"/>
  <c r="V13" i="11"/>
  <c r="I11" i="11"/>
  <c r="AH8" i="11"/>
  <c r="AA6" i="11"/>
  <c r="BJ3" i="11"/>
  <c r="BO15" i="11"/>
  <c r="E13" i="11"/>
  <c r="F11" i="11"/>
  <c r="L8" i="11"/>
  <c r="AW5" i="11"/>
  <c r="AZ3" i="11"/>
  <c r="B16" i="11"/>
  <c r="R12" i="11"/>
  <c r="B8" i="11"/>
  <c r="F5" i="11"/>
  <c r="BA15" i="11"/>
  <c r="P12" i="11"/>
  <c r="BP7" i="11"/>
  <c r="BK4" i="11"/>
  <c r="AV15" i="11"/>
  <c r="BA7" i="11"/>
  <c r="AY3" i="11"/>
  <c r="U10" i="11"/>
  <c r="BN6" i="11"/>
  <c r="A3" i="11"/>
  <c r="AP14" i="11"/>
  <c r="R6" i="11"/>
  <c r="BF2" i="11"/>
  <c r="M14" i="11"/>
  <c r="AG5" i="11"/>
  <c r="BD2" i="11"/>
  <c r="F13" i="11"/>
  <c r="AD5" i="11"/>
  <c r="BB2" i="11"/>
  <c r="AX15" i="11"/>
  <c r="BI11" i="11"/>
  <c r="BM7" i="11"/>
  <c r="BB3" i="11"/>
  <c r="AG11" i="11"/>
  <c r="BD14" i="11"/>
  <c r="BH9" i="11"/>
  <c r="AT9" i="11"/>
  <c r="AR9" i="11"/>
  <c r="A13" i="11"/>
  <c r="AC5" i="11"/>
  <c r="BA2" i="11"/>
  <c r="AQ9" i="11"/>
  <c r="BM14" i="11"/>
  <c r="G11" i="11"/>
  <c r="O7" i="11"/>
  <c r="AW3" i="11"/>
  <c r="BG14" i="11"/>
  <c r="AX10" i="11"/>
  <c r="B7" i="11"/>
  <c r="AM3" i="11"/>
  <c r="BF14" i="11"/>
  <c r="W10" i="11"/>
  <c r="BP6" i="11"/>
  <c r="D3" i="11"/>
  <c r="BN12" i="11"/>
  <c r="AP9" i="11"/>
  <c r="Z5" i="11"/>
  <c r="BM12" i="11"/>
  <c r="AO9" i="11"/>
  <c r="X5" i="11"/>
  <c r="AV12" i="11"/>
  <c r="Y12" i="11"/>
  <c r="AE8" i="11"/>
  <c r="C8" i="11"/>
  <c r="V5" i="11"/>
  <c r="I5" i="11"/>
  <c r="BF2" i="7"/>
  <c r="AP2" i="7"/>
  <c r="Z2" i="7"/>
  <c r="J2" i="7"/>
  <c r="BL2" i="7"/>
  <c r="AU2" i="7"/>
  <c r="AD2" i="7"/>
  <c r="M2" i="7"/>
  <c r="BC2" i="7"/>
  <c r="AK2" i="7"/>
  <c r="S2" i="7"/>
  <c r="BA2" i="7"/>
  <c r="AI2" i="7"/>
  <c r="Q2" i="7"/>
  <c r="AW2" i="7"/>
  <c r="AB2" i="7"/>
  <c r="G2" i="7"/>
  <c r="BN2" i="7"/>
  <c r="AS2" i="7"/>
  <c r="X2" i="7"/>
  <c r="D2" i="7"/>
  <c r="BK2" i="7"/>
  <c r="AQ2" i="7"/>
  <c r="V2" i="7"/>
  <c r="B2" i="7"/>
  <c r="AZ2" i="7"/>
  <c r="AA2" i="7"/>
  <c r="A2" i="7"/>
  <c r="AY2" i="7"/>
  <c r="Y2" i="7"/>
  <c r="AX2" i="7"/>
  <c r="W2" i="7"/>
  <c r="AV2" i="7"/>
  <c r="U2" i="7"/>
  <c r="AT2" i="7"/>
  <c r="T2" i="7"/>
  <c r="BP2" i="7"/>
  <c r="AO2" i="7"/>
  <c r="P2" i="7"/>
  <c r="AL2" i="7"/>
  <c r="C2" i="7"/>
  <c r="AJ2" i="7"/>
  <c r="AH2" i="7"/>
  <c r="BO2" i="7"/>
  <c r="AF2" i="7"/>
  <c r="BJ2" i="7"/>
  <c r="AC2" i="7"/>
  <c r="BG2" i="7"/>
  <c r="F2" i="7"/>
  <c r="BE2" i="7"/>
  <c r="E2" i="7"/>
  <c r="BD2" i="7"/>
  <c r="AN2" i="7"/>
  <c r="N2" i="7"/>
  <c r="L2" i="7"/>
  <c r="I2" i="7"/>
  <c r="BI2" i="7"/>
  <c r="BH2" i="7"/>
  <c r="BB2" i="7"/>
  <c r="AR2" i="7"/>
  <c r="K2" i="7"/>
  <c r="AM2" i="7"/>
  <c r="H2" i="7"/>
  <c r="BM2" i="7"/>
  <c r="AG2" i="7"/>
  <c r="AE2" i="7"/>
  <c r="R2" i="7"/>
  <c r="O2" i="7"/>
  <c r="BL2" i="4" l="1"/>
  <c r="BC4" i="3"/>
  <c r="M3" i="4"/>
  <c r="K3" i="3"/>
  <c r="BA2" i="4"/>
  <c r="BK3" i="3"/>
  <c r="AT4" i="3"/>
  <c r="AC5" i="3"/>
  <c r="A5" i="3"/>
  <c r="BK2" i="4"/>
  <c r="AH4" i="3"/>
  <c r="BH2" i="4"/>
  <c r="S5" i="3"/>
  <c r="BP3" i="3"/>
  <c r="T3" i="4"/>
  <c r="A2" i="3"/>
  <c r="AG3" i="3"/>
  <c r="AQ2" i="3"/>
  <c r="W2" i="3"/>
  <c r="BD3" i="4"/>
  <c r="AD5" i="3"/>
  <c r="AS3" i="4"/>
  <c r="P3" i="3"/>
  <c r="AE6" i="3"/>
  <c r="C2" i="4"/>
  <c r="P6" i="3"/>
  <c r="R5" i="3"/>
  <c r="W2" i="4"/>
  <c r="AV2" i="3"/>
  <c r="B3" i="4"/>
  <c r="BF2" i="4"/>
  <c r="AK3" i="3"/>
  <c r="V2" i="4"/>
  <c r="AS3" i="3"/>
  <c r="AY5" i="3"/>
  <c r="Z3" i="4"/>
  <c r="AZ2" i="4"/>
  <c r="AR2" i="4"/>
  <c r="V3" i="4"/>
  <c r="A3" i="4"/>
  <c r="BO2" i="3"/>
  <c r="AC4" i="3"/>
  <c r="BL5" i="3"/>
  <c r="AW3" i="3"/>
  <c r="AS6" i="3"/>
  <c r="E4" i="3"/>
  <c r="I4" i="3"/>
  <c r="H4" i="3"/>
  <c r="BC2" i="3"/>
  <c r="P5" i="3"/>
  <c r="AJ3" i="3"/>
  <c r="W4" i="3"/>
  <c r="C5" i="3"/>
  <c r="BB5" i="3"/>
  <c r="T5" i="3"/>
  <c r="BA4" i="3"/>
  <c r="R4" i="3"/>
  <c r="AY3" i="3"/>
  <c r="BG2" i="3"/>
  <c r="AV6" i="3"/>
  <c r="AH5" i="3"/>
  <c r="AC2" i="4"/>
  <c r="L2" i="4"/>
  <c r="AL2" i="4"/>
  <c r="BO3" i="4"/>
  <c r="I3" i="4"/>
  <c r="BM2" i="4"/>
  <c r="AP3" i="4"/>
  <c r="AD3" i="4"/>
  <c r="Q3" i="4"/>
  <c r="W5" i="3"/>
  <c r="BI3" i="3"/>
  <c r="Y6" i="3"/>
  <c r="K4" i="3"/>
  <c r="D4" i="3"/>
  <c r="AG4" i="3"/>
  <c r="I5" i="3"/>
  <c r="B6" i="3"/>
  <c r="V3" i="3"/>
  <c r="T6" i="3"/>
  <c r="BH3" i="3"/>
  <c r="AS4" i="3"/>
  <c r="AB5" i="3"/>
  <c r="L6" i="3"/>
  <c r="AL5" i="3"/>
  <c r="D5" i="3"/>
  <c r="AK4" i="3"/>
  <c r="A4" i="3"/>
  <c r="G3" i="3"/>
  <c r="BM6" i="3"/>
  <c r="AE2" i="4"/>
  <c r="BC2" i="4"/>
  <c r="AT3" i="4"/>
  <c r="R2" i="4"/>
  <c r="AL3" i="4"/>
  <c r="S3" i="4"/>
  <c r="BN3" i="4"/>
  <c r="AU3" i="4"/>
  <c r="AG3" i="4"/>
  <c r="BP2" i="3"/>
  <c r="BH6" i="3"/>
  <c r="BN6" i="3"/>
  <c r="AR4" i="3"/>
  <c r="C2" i="3"/>
  <c r="BM4" i="3"/>
  <c r="AK5" i="3"/>
  <c r="Q2" i="3"/>
  <c r="BB3" i="3"/>
  <c r="AC2" i="3"/>
  <c r="O4" i="3"/>
  <c r="BP4" i="3"/>
  <c r="BA5" i="3"/>
  <c r="AM6" i="3"/>
  <c r="BE5" i="3"/>
  <c r="V5" i="3"/>
  <c r="BD4" i="3"/>
  <c r="T4" i="3"/>
  <c r="W3" i="3"/>
  <c r="N2" i="3"/>
  <c r="BP5" i="3"/>
  <c r="W3" i="4"/>
  <c r="BL3" i="4"/>
  <c r="C6" i="3"/>
  <c r="AD2" i="3"/>
  <c r="BM3" i="4"/>
  <c r="A3" i="3"/>
  <c r="AA4" i="3"/>
  <c r="AX2" i="3"/>
  <c r="AO5" i="3"/>
  <c r="C3" i="3"/>
  <c r="BO5" i="3"/>
  <c r="BA3" i="3"/>
  <c r="AO4" i="3"/>
  <c r="AZ4" i="3"/>
  <c r="Y3" i="3"/>
  <c r="BL4" i="3"/>
  <c r="AZ5" i="3"/>
  <c r="AL6" i="3"/>
  <c r="D2" i="3"/>
  <c r="AB6" i="3"/>
  <c r="BG5" i="3"/>
  <c r="X5" i="3"/>
  <c r="BE4" i="3"/>
  <c r="BC3" i="3"/>
  <c r="AT2" i="3"/>
  <c r="AH6" i="3"/>
  <c r="AF2" i="4"/>
  <c r="K3" i="4"/>
  <c r="AB2" i="4"/>
  <c r="Y2" i="4"/>
  <c r="AM3" i="4"/>
  <c r="AV3" i="4"/>
  <c r="AW3" i="4"/>
  <c r="Z5" i="3"/>
  <c r="R2" i="3"/>
  <c r="AM2" i="3"/>
  <c r="AG5" i="3"/>
  <c r="H3" i="3"/>
  <c r="Q4" i="3"/>
  <c r="BN2" i="3"/>
  <c r="AP4" i="3"/>
  <c r="AA5" i="3"/>
  <c r="I6" i="3"/>
  <c r="BL6" i="3"/>
  <c r="H6" i="3"/>
  <c r="AN5" i="3"/>
  <c r="F5" i="3"/>
  <c r="AM4" i="3"/>
  <c r="AM3" i="3"/>
  <c r="Q6" i="3"/>
  <c r="BN2" i="4"/>
  <c r="BE3" i="4"/>
  <c r="I2" i="4"/>
  <c r="BG2" i="4"/>
  <c r="BB2" i="4"/>
  <c r="BI3" i="4"/>
  <c r="BA3" i="4"/>
  <c r="P2" i="4"/>
  <c r="AF3" i="4"/>
  <c r="AI2" i="4"/>
  <c r="AN2" i="4"/>
  <c r="AA3" i="4"/>
  <c r="J3" i="4"/>
  <c r="F2" i="4"/>
  <c r="D2" i="4"/>
  <c r="AG2" i="4"/>
  <c r="BD5" i="3"/>
  <c r="BH5" i="3"/>
  <c r="M3" i="3"/>
  <c r="F6" i="3"/>
  <c r="AI3" i="3"/>
  <c r="AF6" i="3"/>
  <c r="S6" i="3"/>
  <c r="AO6" i="3"/>
  <c r="N5" i="3"/>
  <c r="BE3" i="3"/>
  <c r="U5" i="3"/>
  <c r="G6" i="3"/>
  <c r="BK6" i="3"/>
  <c r="V2" i="3"/>
  <c r="AU6" i="3"/>
  <c r="K6" i="3"/>
  <c r="AP5" i="3"/>
  <c r="G5" i="3"/>
  <c r="C4" i="3"/>
  <c r="BJ2" i="3"/>
  <c r="AY6" i="3"/>
  <c r="D3" i="4"/>
  <c r="X2" i="4"/>
  <c r="AA3" i="3"/>
  <c r="AU3" i="3"/>
  <c r="AE4" i="3"/>
  <c r="J2" i="3"/>
  <c r="AW5" i="3"/>
  <c r="AU5" i="3"/>
  <c r="O2" i="3"/>
  <c r="F2" i="3"/>
  <c r="BI5" i="3"/>
  <c r="S4" i="3"/>
  <c r="BP6" i="3"/>
  <c r="C3" i="4"/>
  <c r="AR3" i="4"/>
  <c r="AZ3" i="4"/>
  <c r="AP2" i="4"/>
  <c r="A2" i="4"/>
  <c r="AT2" i="4"/>
  <c r="BO2" i="4"/>
  <c r="BF5" i="3"/>
  <c r="BI6" i="3"/>
  <c r="J4" i="3"/>
  <c r="T2" i="3"/>
  <c r="BK4" i="3"/>
  <c r="P2" i="3"/>
  <c r="AR2" i="3"/>
  <c r="BA2" i="3"/>
  <c r="AW6" i="3"/>
  <c r="BF4" i="3"/>
  <c r="D6" i="3"/>
  <c r="BJ6" i="3"/>
  <c r="AK2" i="3"/>
  <c r="BF2" i="3"/>
  <c r="X2" i="3"/>
  <c r="AX6" i="3"/>
  <c r="M6" i="3"/>
  <c r="AQ5" i="3"/>
  <c r="AI4" i="3"/>
  <c r="Z3" i="3"/>
  <c r="AT5" i="3"/>
  <c r="AH2" i="4"/>
  <c r="L3" i="4"/>
  <c r="O2" i="4"/>
  <c r="AN3" i="4"/>
  <c r="Z2" i="4"/>
  <c r="AX2" i="4"/>
  <c r="X6" i="3"/>
  <c r="AR6" i="3"/>
  <c r="AL3" i="3"/>
  <c r="U2" i="3"/>
  <c r="Z4" i="3"/>
  <c r="AK6" i="3"/>
  <c r="AN2" i="3"/>
  <c r="AD6" i="3"/>
  <c r="Y5" i="3"/>
  <c r="J3" i="3"/>
  <c r="AQ2" i="4"/>
  <c r="AQ3" i="4"/>
  <c r="F3" i="4"/>
  <c r="N2" i="4"/>
  <c r="E3" i="4"/>
  <c r="T2" i="4"/>
  <c r="BP2" i="4"/>
  <c r="BJ2" i="4"/>
  <c r="P3" i="4"/>
  <c r="AC3" i="3"/>
  <c r="B2" i="3"/>
  <c r="AQ4" i="3"/>
  <c r="AZ2" i="3"/>
  <c r="AF5" i="3"/>
  <c r="F3" i="3"/>
  <c r="E3" i="3"/>
  <c r="U3" i="3"/>
  <c r="U4" i="3"/>
  <c r="Q5" i="3"/>
  <c r="AC6" i="3"/>
  <c r="M2" i="3"/>
  <c r="BK2" i="3"/>
  <c r="I3" i="3"/>
  <c r="AP2" i="3"/>
  <c r="H2" i="3"/>
  <c r="AG6" i="3"/>
  <c r="BK5" i="3"/>
  <c r="AY4" i="3"/>
  <c r="AP3" i="3"/>
  <c r="BJ5" i="3"/>
  <c r="U3" i="4"/>
  <c r="BG4" i="3"/>
  <c r="V6" i="3"/>
  <c r="AL2" i="3"/>
  <c r="J5" i="3"/>
  <c r="T3" i="3"/>
  <c r="BN5" i="3"/>
  <c r="AR3" i="3"/>
  <c r="G4" i="3"/>
  <c r="M4" i="3"/>
  <c r="AX5" i="3"/>
  <c r="BC5" i="3"/>
  <c r="AJ2" i="3"/>
  <c r="S3" i="3"/>
  <c r="AB3" i="3"/>
  <c r="BI2" i="3"/>
  <c r="Z2" i="3"/>
  <c r="BA6" i="3"/>
  <c r="O6" i="3"/>
  <c r="BO4" i="3"/>
  <c r="BF3" i="3"/>
  <c r="J6" i="3"/>
  <c r="K5" i="3"/>
  <c r="N3" i="4"/>
  <c r="AS2" i="4"/>
  <c r="H2" i="4"/>
  <c r="BF3" i="4"/>
  <c r="BH3" i="4"/>
  <c r="BI2" i="4"/>
  <c r="AO3" i="4"/>
  <c r="AY3" i="4"/>
  <c r="AE2" i="3"/>
  <c r="AE3" i="3"/>
  <c r="B3" i="3"/>
  <c r="AM5" i="3"/>
  <c r="AZ3" i="3"/>
  <c r="AA6" i="3"/>
  <c r="AN4" i="3"/>
  <c r="AJ4" i="3"/>
  <c r="AW4" i="3"/>
  <c r="AZ6" i="3"/>
  <c r="U6" i="3"/>
  <c r="L2" i="3"/>
  <c r="BH2" i="3"/>
  <c r="AQ3" i="3"/>
  <c r="AT3" i="3"/>
  <c r="AS2" i="3"/>
  <c r="I2" i="3"/>
  <c r="AI6" i="3"/>
  <c r="O5" i="3"/>
  <c r="F4" i="3"/>
  <c r="Z6" i="3"/>
  <c r="R3" i="4"/>
  <c r="AM2" i="4"/>
  <c r="Q2" i="4"/>
  <c r="S2" i="4"/>
  <c r="O3" i="4"/>
  <c r="BK3" i="4"/>
  <c r="BB3" i="4"/>
  <c r="BP3" i="4"/>
  <c r="BH4" i="3"/>
  <c r="W6" i="3"/>
  <c r="AH3" i="3"/>
  <c r="E6" i="3"/>
  <c r="L4" i="3"/>
  <c r="BO6" i="3"/>
  <c r="H5" i="3"/>
  <c r="BN4" i="3"/>
  <c r="M5" i="3"/>
  <c r="Y2" i="3"/>
  <c r="BD6" i="3"/>
  <c r="AI2" i="3"/>
  <c r="R3" i="3"/>
  <c r="BO3" i="3"/>
  <c r="BL3" i="3"/>
  <c r="AD3" i="3"/>
  <c r="BL2" i="3"/>
  <c r="AB2" i="3"/>
  <c r="BC6" i="3"/>
  <c r="AE5" i="3"/>
  <c r="V4" i="3"/>
  <c r="AP6" i="3"/>
  <c r="BJ3" i="3"/>
  <c r="AC3" i="4"/>
  <c r="BG6" i="3"/>
  <c r="AI3" i="4"/>
  <c r="L3" i="3"/>
  <c r="BC3" i="4"/>
  <c r="AX3" i="4"/>
  <c r="BE2" i="4"/>
  <c r="AY2" i="4"/>
  <c r="AK3" i="4"/>
  <c r="G2" i="4"/>
  <c r="M2" i="4"/>
  <c r="E2" i="4"/>
  <c r="AG2" i="3"/>
  <c r="BG3" i="3"/>
  <c r="B4" i="3"/>
  <c r="AQ6" i="3"/>
  <c r="AV4" i="3"/>
  <c r="G2" i="3"/>
  <c r="AJ5" i="3"/>
  <c r="AI5" i="3"/>
  <c r="AS5" i="3"/>
  <c r="BD2" i="3"/>
  <c r="E2" i="3"/>
  <c r="BE2" i="3"/>
  <c r="AO3" i="3"/>
  <c r="Y4" i="3"/>
  <c r="N4" i="3"/>
  <c r="AV3" i="3"/>
  <c r="N3" i="3"/>
  <c r="AU2" i="3"/>
  <c r="BB6" i="3"/>
  <c r="AV5" i="3"/>
  <c r="AL4" i="3"/>
  <c r="BF6" i="3"/>
  <c r="J2" i="4"/>
  <c r="G3" i="4"/>
  <c r="BD2" i="4"/>
  <c r="AO2" i="4"/>
  <c r="AH3" i="4"/>
  <c r="AB3" i="4"/>
  <c r="K2" i="4"/>
  <c r="X3" i="4"/>
  <c r="Y3" i="4"/>
  <c r="H3" i="4"/>
  <c r="BG3" i="4"/>
  <c r="AA2" i="4"/>
  <c r="AD2" i="4"/>
  <c r="U2" i="4"/>
  <c r="BI4" i="3"/>
  <c r="BE6" i="3"/>
  <c r="AD4" i="3"/>
  <c r="S2" i="3"/>
  <c r="L5" i="3"/>
  <c r="AO2" i="3"/>
  <c r="AN6" i="3"/>
  <c r="A6" i="3"/>
  <c r="R6" i="3"/>
  <c r="X3" i="3"/>
  <c r="AF2" i="3"/>
  <c r="Q3" i="3"/>
  <c r="BM3" i="3"/>
  <c r="AU4" i="3"/>
  <c r="AF4" i="3"/>
  <c r="BN3" i="3"/>
  <c r="AF3" i="3"/>
  <c r="BM2" i="3"/>
  <c r="K2" i="3"/>
  <c r="BM5" i="3"/>
  <c r="BB4" i="3"/>
  <c r="AE3" i="4"/>
  <c r="AW2" i="4"/>
  <c r="AJ2" i="4"/>
  <c r="BJ3" i="4"/>
  <c r="AJ3" i="4"/>
  <c r="B2" i="4"/>
  <c r="AV2" i="4"/>
  <c r="AU2" i="4"/>
  <c r="AH2" i="3"/>
  <c r="AB4" i="3"/>
  <c r="BJ4" i="3"/>
  <c r="AY2" i="3"/>
  <c r="AR5" i="3"/>
  <c r="D3" i="3"/>
  <c r="AW2" i="3"/>
  <c r="AJ6" i="3"/>
  <c r="AT6" i="3"/>
  <c r="BD3" i="3"/>
  <c r="BB2" i="3"/>
  <c r="AN3" i="3"/>
  <c r="X4" i="3"/>
  <c r="E5" i="3"/>
  <c r="AX4" i="3"/>
  <c r="P4" i="3"/>
  <c r="AX3" i="3"/>
  <c r="O3" i="3"/>
  <c r="AA2" i="3"/>
  <c r="N6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<sst xmlns="http://schemas.openxmlformats.org/spreadsheetml/2006/main" count="905" uniqueCount="138">
  <si>
    <t>序号</t>
  </si>
  <si>
    <t>负责人</t>
  </si>
  <si>
    <t>场地</t>
  </si>
  <si>
    <t>芸苔现金</t>
  </si>
  <si>
    <t>芸苔微信</t>
  </si>
  <si>
    <t>芸苔支付宝</t>
  </si>
  <si>
    <t>芸苔非团购</t>
  </si>
  <si>
    <t>抖音收款</t>
  </si>
  <si>
    <t>抖音手续费</t>
  </si>
  <si>
    <t>美团收款</t>
  </si>
  <si>
    <t>美团手续费</t>
  </si>
  <si>
    <t>乐摇摇收款</t>
  </si>
  <si>
    <t>多金宝现金</t>
  </si>
  <si>
    <t>多金宝非现金</t>
  </si>
  <si>
    <t>汇联非现金</t>
  </si>
  <si>
    <t>汇联现金</t>
  </si>
  <si>
    <t>汇联手续费</t>
  </si>
  <si>
    <t>StarThing非现金</t>
  </si>
  <si>
    <t>StarThing现金</t>
  </si>
  <si>
    <t>鲸舰非现金</t>
  </si>
  <si>
    <t>鲸舰现金</t>
  </si>
  <si>
    <t>Kpay收款</t>
  </si>
  <si>
    <t>Kpay手续费</t>
  </si>
  <si>
    <t>八达通收款</t>
  </si>
  <si>
    <t>八达通手续费</t>
  </si>
  <si>
    <t>芸苔远程取币</t>
  </si>
  <si>
    <t>其他收入</t>
  </si>
  <si>
    <t>收入汇总</t>
  </si>
  <si>
    <t>扣除手续费后</t>
  </si>
  <si>
    <t>基础货款</t>
  </si>
  <si>
    <t>StarThing积分货款</t>
  </si>
  <si>
    <t>鲸舰积分货款</t>
  </si>
  <si>
    <t>新系统积分货款</t>
  </si>
  <si>
    <t>芸苔积分货款</t>
  </si>
  <si>
    <t>总货款</t>
  </si>
  <si>
    <t>货款比%</t>
  </si>
  <si>
    <t>预计收入(万元)</t>
  </si>
  <si>
    <t>预收入完成率</t>
  </si>
  <si>
    <t>现金</t>
  </si>
  <si>
    <t>芸苔投币</t>
  </si>
  <si>
    <t>多金宝投币</t>
  </si>
  <si>
    <t>乐摇摇投币</t>
  </si>
  <si>
    <t>StarThing投币</t>
  </si>
  <si>
    <t>鲸舰投币</t>
  </si>
  <si>
    <t>投币合计</t>
  </si>
  <si>
    <t>芸苔出币</t>
  </si>
  <si>
    <t>StarThing出币</t>
  </si>
  <si>
    <t>鲸舰出币</t>
  </si>
  <si>
    <t>多金宝出币</t>
  </si>
  <si>
    <t>出币合计</t>
  </si>
  <si>
    <t>芸苔出货</t>
  </si>
  <si>
    <t>多金宝出货</t>
  </si>
  <si>
    <t>乐摇摇出货</t>
  </si>
  <si>
    <t>StarThing出货</t>
  </si>
  <si>
    <t>鲸舰出货</t>
  </si>
  <si>
    <t>出货合计</t>
  </si>
  <si>
    <t>鲸舰积分增加</t>
  </si>
  <si>
    <t>鲸舰积分减少</t>
  </si>
  <si>
    <t>新系统积分增加</t>
  </si>
  <si>
    <t>新系统积分减少</t>
  </si>
  <si>
    <t>StarThing积分增加</t>
  </si>
  <si>
    <t>StarThing积分减少</t>
  </si>
  <si>
    <t>芸苔积分增加</t>
  </si>
  <si>
    <t>芸苔积分减少</t>
  </si>
  <si>
    <t>存货合计</t>
  </si>
  <si>
    <t>存货比率（存货与出货比）</t>
  </si>
  <si>
    <t>币值（收入与投币比）</t>
  </si>
  <si>
    <t>出货率（投币与出货比）</t>
  </si>
  <si>
    <t>洪奕翔</t>
  </si>
  <si>
    <t>深圳皇庭广场figgyfinds</t>
  </si>
  <si>
    <t>郑伟峰</t>
  </si>
  <si>
    <t>福州东百中心</t>
  </si>
  <si>
    <t>福州苏宁广场</t>
  </si>
  <si>
    <t>福州苏宁广场solmo</t>
  </si>
  <si>
    <t>福州X118多径</t>
  </si>
  <si>
    <t>东百中心弹珠机</t>
  </si>
  <si>
    <t>方小丹</t>
  </si>
  <si>
    <t>广州悦汇城负一</t>
  </si>
  <si>
    <t>江门台山万达</t>
  </si>
  <si>
    <t>广州保利时光里</t>
  </si>
  <si>
    <t>广州南沙悦方城</t>
  </si>
  <si>
    <t>广州南沙悦方城多径</t>
  </si>
  <si>
    <t>健康港星河(广州星河多径)</t>
  </si>
  <si>
    <t>深圳宝安怀德万象汇solmo</t>
  </si>
  <si>
    <t>深圳宝安怀德万象汇figgyfinds</t>
  </si>
  <si>
    <t>深圳龙岗大运天地figgyfinds</t>
  </si>
  <si>
    <t>深圳海岸城爪物超柿</t>
  </si>
  <si>
    <t>深圳布吉万象汇figgyfinds</t>
  </si>
  <si>
    <t>广州花都骏壹万邦广场figgyfinds</t>
  </si>
  <si>
    <t>东莞松山湖万象汇figgyfinds</t>
  </si>
  <si>
    <t>福永益田假日</t>
  </si>
  <si>
    <t>Solmo娃娃市集(摩尔城店)</t>
  </si>
  <si>
    <t>王青</t>
  </si>
  <si>
    <t>上海宏伊广场</t>
  </si>
  <si>
    <t>香港黄埔物超柿</t>
  </si>
  <si>
    <t>香港九龙城店</t>
  </si>
  <si>
    <t>梁志成</t>
  </si>
  <si>
    <t>香港宝林FF</t>
  </si>
  <si>
    <t>香港将军澳店</t>
  </si>
  <si>
    <t>吴兴涛</t>
  </si>
  <si>
    <t>香港K11</t>
  </si>
  <si>
    <t>文龙</t>
  </si>
  <si>
    <t>香港沙田希尔顿物超柿</t>
  </si>
  <si>
    <t>徐丹</t>
  </si>
  <si>
    <t>香港如心物超柿</t>
  </si>
  <si>
    <t>香港荃湾FF</t>
  </si>
  <si>
    <t>106</t>
  </si>
  <si>
    <t>香港大学物超柿</t>
  </si>
  <si>
    <t xml:space="preserve"> Figgy Finds娃娃市集(罗湖店)</t>
  </si>
  <si>
    <t>撤店</t>
  </si>
  <si>
    <t>深圳万象食家多径</t>
  </si>
  <si>
    <t>深圳宝安壹方城figgyfinds</t>
  </si>
  <si>
    <t>上海凯德1uone</t>
  </si>
  <si>
    <t>东方宝泰</t>
  </si>
  <si>
    <t>上海宝山天街店（不支持门店自提）</t>
  </si>
  <si>
    <t>上海来福士小鹿的屋（不支持兑换自提）</t>
  </si>
  <si>
    <t>广州海珠万达</t>
  </si>
  <si>
    <t>广州融创茂（小鹿的屋）</t>
  </si>
  <si>
    <t>海口龙湖天街（小鹿的屋）（不支持门店自提）</t>
  </si>
  <si>
    <t>兰州万象城</t>
  </si>
  <si>
    <t>上海奉贤天街</t>
  </si>
  <si>
    <t>重庆南坪协信（不支持门店自提）</t>
  </si>
  <si>
    <t>松山湖负一多径</t>
  </si>
  <si>
    <t>苏宁广场B区</t>
  </si>
  <si>
    <t>广州金茂益田假日广场</t>
  </si>
  <si>
    <t>杭州龙湖天街</t>
  </si>
  <si>
    <t>合计</t>
  </si>
  <si>
    <t>抖音</t>
  </si>
  <si>
    <t>美团</t>
  </si>
  <si>
    <t>乐摇摇</t>
  </si>
  <si>
    <t>手续费汇总</t>
  </si>
  <si>
    <t>手续费</t>
  </si>
  <si>
    <t>去手续费前</t>
  </si>
  <si>
    <t>费率</t>
  </si>
  <si>
    <t>行标签</t>
  </si>
  <si>
    <t>总计</t>
  </si>
  <si>
    <t>求和项:收入汇总</t>
  </si>
  <si>
    <t>货款比%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</si>
</sst>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2"/>
      <color theme="1"/>
      <name val="等线"/>
      <charset val="134"/>
    </font>
    <font>
      <b/>
      <sz val="16"/>
      <name val="STFangsong"/>
    </font>
    <font>
      <sz val="16"/>
      <name val="STFangsong"/>
    </font>
    <font>
      <sz val="16"/>
      <name val="等线"/>
      <family val="3"/>
      <charset val="134"/>
    </font>
    <font>
      <b/>
      <sz val="16"/>
      <color rgb="FFFFFFFF"/>
      <name val="STFangsong"/>
    </font>
    <font>
      <b/>
      <sz val="16"/>
      <color rgb="FF000000"/>
      <name val="STFangsong"/>
    </font>
    <font>
      <sz val="16"/>
      <color rgb="FF000000"/>
      <name val="STFangsong"/>
    </font>
    <font>
      <sz val="16"/>
      <color rgb="FFFFFFFF"/>
      <name val="STFangsong"/>
    </font>
    <font>
      <sz val="10"/>
      <name val="等线"/>
      <family val="3"/>
      <charset val="134"/>
    </font>
    <font>
      <sz val="16"/>
      <name val="宋体"/>
      <family val="3"/>
      <charset val="134"/>
    </font>
    <font>
      <b/>
      <sz val="16"/>
      <name val="宋体"/>
      <family val="3"/>
      <charset val="134"/>
    </font>
    <font>
      <b/>
      <sz val="16"/>
      <name val="微软雅黑"/>
      <family val="2"/>
      <charset val="134"/>
    </font>
    <font>
      <b/>
      <sz val="16"/>
      <name val="黑体"/>
      <family val="3"/>
      <charset val="134"/>
    </font>
    <font>
      <sz val="9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04B0F1"/>
        <bgColor indexed="64"/>
      </patternFill>
    </fill>
    <fill>
      <patternFill patternType="solid">
        <fgColor rgb="FFA9D08D"/>
        <bgColor indexed="64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4" fontId="3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>
      <alignment vertical="center"/>
    </xf>
    <xf numFmtId="4" fontId="2" fillId="0" borderId="0" xfId="0" applyNumberFormat="1" applyFont="1">
      <alignment vertical="center"/>
    </xf>
    <xf numFmtId="4" fontId="4" fillId="2" borderId="0" xfId="0" applyNumberFormat="1" applyFont="1" applyFill="1" applyAlignment="1">
      <alignment horizontal="center" vertical="center"/>
    </xf>
    <xf numFmtId="4" fontId="6" fillId="0" borderId="0" xfId="0" applyNumberFormat="1" applyFont="1">
      <alignment vertical="center"/>
    </xf>
    <xf numFmtId="4" fontId="7" fillId="4" borderId="0" xfId="0" applyNumberFormat="1" applyFont="1" applyFill="1">
      <alignment vertical="center"/>
    </xf>
    <xf numFmtId="10" fontId="4" fillId="2" borderId="0" xfId="0" applyNumberFormat="1" applyFont="1" applyFill="1" applyAlignment="1">
      <alignment horizontal="center" vertical="center"/>
    </xf>
    <xf numFmtId="10" fontId="7" fillId="4" borderId="0" xfId="0" applyNumberFormat="1" applyFont="1" applyFill="1">
      <alignment vertical="center"/>
    </xf>
    <xf numFmtId="3" fontId="2" fillId="0" borderId="0" xfId="0" applyNumberFormat="1" applyFont="1">
      <alignment vertical="center"/>
    </xf>
    <xf numFmtId="3" fontId="7" fillId="2" borderId="0" xfId="0" applyNumberFormat="1" applyFont="1" applyFill="1">
      <alignment vertical="center"/>
    </xf>
    <xf numFmtId="3" fontId="4" fillId="2" borderId="0" xfId="0" applyNumberFormat="1" applyFont="1" applyFill="1" applyAlignment="1">
      <alignment horizontal="center" vertical="center"/>
    </xf>
    <xf numFmtId="4" fontId="8" fillId="0" borderId="0" xfId="0" applyNumberFormat="1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0" fontId="2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8" fillId="0" borderId="0" xfId="0" applyFont="1">
      <alignment vertical="center"/>
    </xf>
    <xf numFmtId="0" fontId="4" fillId="2" borderId="0" xfId="0" applyFont="1" applyFill="1">
      <alignment vertical="center"/>
    </xf>
    <xf numFmtId="4" fontId="7" fillId="2" borderId="0" xfId="0" applyNumberFormat="1" applyFont="1" applyFill="1">
      <alignment vertic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" fontId="9" fillId="0" borderId="5" xfId="0" applyNumberFormat="1" applyFont="1" applyBorder="1" applyAlignment="1">
      <alignment horizontal="center" vertical="center"/>
    </xf>
    <xf numFmtId="4" fontId="9" fillId="0" borderId="3" xfId="0" applyNumberFormat="1" applyFont="1" applyBorder="1" applyAlignment="1">
      <alignment horizontal="center" vertical="center"/>
    </xf>
    <xf numFmtId="10" fontId="9" fillId="0" borderId="6" xfId="0" applyNumberFormat="1" applyFont="1" applyBorder="1" applyAlignment="1">
      <alignment horizontal="center" vertical="center"/>
    </xf>
    <xf numFmtId="10" fontId="9" fillId="0" borderId="7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2" xfId="0" applyFont="1" applyBorder="1">
      <alignment vertical="center"/>
    </xf>
    <xf numFmtId="4" fontId="10" fillId="0" borderId="2" xfId="0" applyNumberFormat="1" applyFont="1" applyBorder="1" applyAlignment="1">
      <alignment horizontal="center" vertical="center"/>
    </xf>
    <xf numFmtId="4" fontId="9" fillId="0" borderId="2" xfId="0" applyNumberFormat="1" applyFont="1" applyBorder="1">
      <alignment vertical="center"/>
    </xf>
    <xf numFmtId="0" fontId="8" fillId="0" borderId="3" xfId="0" applyFont="1" applyBorder="1">
      <alignment vertical="center"/>
    </xf>
    <xf numFmtId="0" fontId="8" fillId="0" borderId="7" xfId="0" applyFont="1" applyBorder="1">
      <alignment vertical="center"/>
    </xf>
    <xf numFmtId="4" fontId="9" fillId="0" borderId="7" xfId="0" applyNumberFormat="1" applyFont="1" applyBorder="1" applyAlignment="1">
      <alignment horizontal="center" vertical="center"/>
    </xf>
    <xf numFmtId="0" fontId="9" fillId="0" borderId="2" xfId="0" applyFont="1" applyBorder="1" applyAlignment="1"/>
    <xf numFmtId="0" fontId="9" fillId="0" borderId="8" xfId="0" applyFont="1" applyBorder="1" applyAlignment="1">
      <alignment horizontal="center"/>
    </xf>
    <xf numFmtId="4" fontId="10" fillId="0" borderId="9" xfId="0" applyNumberFormat="1" applyFont="1" applyBorder="1" applyAlignment="1">
      <alignment horizontal="center" vertical="center"/>
    </xf>
    <xf numFmtId="10" fontId="10" fillId="0" borderId="10" xfId="0" applyNumberFormat="1" applyFont="1" applyBorder="1" applyAlignment="1">
      <alignment horizontal="center" vertical="center"/>
    </xf>
    <xf numFmtId="10" fontId="7" fillId="2" borderId="0" xfId="0" applyNumberFormat="1" applyFont="1" applyFill="1">
      <alignment vertical="center"/>
    </xf>
    <xf numFmtId="0" fontId="11" fillId="0" borderId="3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1">
    <cellStyle name="常规" xfId="0" builtinId="0"/>
  </cellStyles>
  <dxfs count="30">
    <dxf>
      <font>
        <b/>
        <color rgb="FFFFFFFF"/>
      </font>
      <fill>
        <patternFill patternType="solid">
          <bgColor rgb="FFFE0300"/>
        </patternFill>
      </fill>
    </dxf>
    <dxf>
      <font>
        <b/>
        <color rgb="FFFFFFFF"/>
      </font>
      <fill>
        <patternFill patternType="solid">
          <bgColor rgb="FFFE0300"/>
        </patternFill>
      </fill>
    </dxf>
    <dxf>
      <font>
        <b/>
        <color rgb="FFFFFFFF"/>
      </font>
      <fill>
        <patternFill patternType="solid">
          <bgColor rgb="FFFE0300"/>
        </patternFill>
      </fill>
    </dxf>
    <dxf>
      <font>
        <b/>
        <color rgb="FFFFFFFF"/>
      </font>
      <fill>
        <patternFill patternType="solid">
          <bgColor rgb="FFFE0300"/>
        </patternFill>
      </fill>
    </dxf>
    <dxf>
      <font>
        <b/>
        <color rgb="FFFFFFFF"/>
      </font>
      <fill>
        <patternFill patternType="solid">
          <bgColor rgb="FFFE0300"/>
        </patternFill>
      </fill>
    </dxf>
    <dxf>
      <font>
        <b/>
        <color rgb="FFFFFFFF"/>
      </font>
      <fill>
        <patternFill patternType="solid">
          <bgColor rgb="FFFE0300"/>
        </patternFill>
      </fill>
    </dxf>
    <dxf>
      <font>
        <b/>
        <color rgb="FFFFFFFF"/>
      </font>
      <fill>
        <patternFill patternType="solid">
          <bgColor rgb="FFFE0300"/>
        </patternFill>
      </fill>
    </dxf>
    <dxf>
      <font>
        <b/>
        <color rgb="FFFFFFFF"/>
      </font>
      <fill>
        <patternFill patternType="solid">
          <bgColor rgb="FFFE0300"/>
        </patternFill>
      </fill>
    </dxf>
    <dxf>
      <font>
        <b/>
        <color rgb="FFFFFFFF"/>
      </font>
      <fill>
        <patternFill patternType="solid">
          <bgColor rgb="FFFE0300"/>
        </patternFill>
      </fill>
    </dxf>
    <dxf>
      <font>
        <b/>
        <color rgb="FFFFFFFF"/>
      </font>
      <fill>
        <patternFill patternType="solid">
          <bgColor rgb="FFFE0300"/>
        </patternFill>
      </fill>
    </dxf>
    <dxf>
      <font>
        <b/>
        <color rgb="FFFFFFFF"/>
      </font>
      <fill>
        <patternFill patternType="solid">
          <bgColor rgb="FFFE0300"/>
        </patternFill>
      </fill>
    </dxf>
    <dxf>
      <font>
        <b/>
        <color rgb="FFFFFFFF"/>
      </font>
      <fill>
        <patternFill patternType="solid">
          <bgColor rgb="FFFE0300"/>
        </patternFill>
      </fill>
    </dxf>
    <dxf>
      <font>
        <b/>
        <color rgb="FFFFFFFF"/>
      </font>
      <fill>
        <patternFill patternType="solid">
          <bgColor rgb="FFFE03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[月报数据（模拟非真实）.xlsx]Sheet1!数据透视表8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收入汇总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Sheet1!$B$71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Sheet1!$A$72:$A$104</c:f>
              <c:strCache>
                <c:ptCount val="32"/>
                <c:pt idx="0">
                  <c:v> Figgy Finds娃娃市集(罗湖店)</c:v>
                </c:pt>
                <c:pt idx="1">
                  <c:v>Solmo娃娃市集(摩尔城店)</c:v>
                </c:pt>
                <c:pt idx="2">
                  <c:v>东百中心弹珠机</c:v>
                </c:pt>
                <c:pt idx="3">
                  <c:v>东莞松山湖万象汇figgyfinds</c:v>
                </c:pt>
                <c:pt idx="4">
                  <c:v>福永益田假日</c:v>
                </c:pt>
                <c:pt idx="5">
                  <c:v>福州X118多径</c:v>
                </c:pt>
                <c:pt idx="6">
                  <c:v>福州东百中心</c:v>
                </c:pt>
                <c:pt idx="7">
                  <c:v>福州苏宁广场</c:v>
                </c:pt>
                <c:pt idx="8">
                  <c:v>福州苏宁广场solmo</c:v>
                </c:pt>
                <c:pt idx="9">
                  <c:v>广州保利时光里</c:v>
                </c:pt>
                <c:pt idx="10">
                  <c:v>广州花都骏壹万邦广场figgyfinds</c:v>
                </c:pt>
                <c:pt idx="11">
                  <c:v>广州南沙悦方城</c:v>
                </c:pt>
                <c:pt idx="12">
                  <c:v>广州南沙悦方城多径</c:v>
                </c:pt>
                <c:pt idx="13">
                  <c:v>广州悦汇城负一</c:v>
                </c:pt>
                <c:pt idx="14">
                  <c:v>健康港星河(广州星河多径)</c:v>
                </c:pt>
                <c:pt idx="15">
                  <c:v>江门台山万达</c:v>
                </c:pt>
                <c:pt idx="16">
                  <c:v>上海宏伊广场</c:v>
                </c:pt>
                <c:pt idx="17">
                  <c:v>深圳宝安怀德万象汇figgyfinds</c:v>
                </c:pt>
                <c:pt idx="18">
                  <c:v>深圳宝安怀德万象汇solmo</c:v>
                </c:pt>
                <c:pt idx="19">
                  <c:v>深圳布吉万象汇figgyfinds</c:v>
                </c:pt>
                <c:pt idx="20">
                  <c:v>深圳海岸城爪物超柿</c:v>
                </c:pt>
                <c:pt idx="21">
                  <c:v>深圳皇庭广场figgyfinds</c:v>
                </c:pt>
                <c:pt idx="22">
                  <c:v>深圳龙岗大运天地figgyfinds</c:v>
                </c:pt>
                <c:pt idx="23">
                  <c:v>香港K11</c:v>
                </c:pt>
                <c:pt idx="24">
                  <c:v>香港宝林FF</c:v>
                </c:pt>
                <c:pt idx="25">
                  <c:v>香港大学物超柿</c:v>
                </c:pt>
                <c:pt idx="26">
                  <c:v>香港黄埔物超柿</c:v>
                </c:pt>
                <c:pt idx="27">
                  <c:v>香港将军澳店</c:v>
                </c:pt>
                <c:pt idx="28">
                  <c:v>香港九龙城店</c:v>
                </c:pt>
                <c:pt idx="29">
                  <c:v>香港荃湾FF</c:v>
                </c:pt>
                <c:pt idx="30">
                  <c:v>香港如心物超柿</c:v>
                </c:pt>
                <c:pt idx="31">
                  <c:v>香港沙田希尔顿物超柿</c:v>
                </c:pt>
              </c:strCache>
            </c:strRef>
          </c:cat>
          <c:val>
            <c:numRef>
              <c:f>Sheet1!$B$72:$B$104</c:f>
              <c:numCache>
                <c:formatCode>#,##0.00</c:formatCode>
                <c:ptCount val="32"/>
                <c:pt idx="0">
                  <c:v>93295.3</c:v>
                </c:pt>
                <c:pt idx="1">
                  <c:v>13496.3</c:v>
                </c:pt>
                <c:pt idx="2">
                  <c:v>3457.2</c:v>
                </c:pt>
                <c:pt idx="3">
                  <c:v>129894.83</c:v>
                </c:pt>
                <c:pt idx="4">
                  <c:v>9340.6750000000011</c:v>
                </c:pt>
                <c:pt idx="5">
                  <c:v>12441.35</c:v>
                </c:pt>
                <c:pt idx="6">
                  <c:v>124870.65000000001</c:v>
                </c:pt>
                <c:pt idx="7">
                  <c:v>3067.3</c:v>
                </c:pt>
                <c:pt idx="8">
                  <c:v>82919.899999999994</c:v>
                </c:pt>
                <c:pt idx="9">
                  <c:v>57982.400000000001</c:v>
                </c:pt>
                <c:pt idx="10">
                  <c:v>120985.06</c:v>
                </c:pt>
                <c:pt idx="11">
                  <c:v>0</c:v>
                </c:pt>
                <c:pt idx="12">
                  <c:v>0</c:v>
                </c:pt>
                <c:pt idx="13">
                  <c:v>49694.400000000001</c:v>
                </c:pt>
                <c:pt idx="14">
                  <c:v>3518.95</c:v>
                </c:pt>
                <c:pt idx="15">
                  <c:v>33465.674999999996</c:v>
                </c:pt>
                <c:pt idx="16">
                  <c:v>69196.7</c:v>
                </c:pt>
                <c:pt idx="17">
                  <c:v>2794.53</c:v>
                </c:pt>
                <c:pt idx="18">
                  <c:v>26878.530000000002</c:v>
                </c:pt>
                <c:pt idx="19">
                  <c:v>118495.34999999999</c:v>
                </c:pt>
                <c:pt idx="20">
                  <c:v>154767.30499999999</c:v>
                </c:pt>
                <c:pt idx="21">
                  <c:v>233429.52500000002</c:v>
                </c:pt>
                <c:pt idx="22">
                  <c:v>81252.76999999999</c:v>
                </c:pt>
                <c:pt idx="23">
                  <c:v>370699.5</c:v>
                </c:pt>
                <c:pt idx="24">
                  <c:v>182782.5</c:v>
                </c:pt>
                <c:pt idx="25">
                  <c:v>11700.5</c:v>
                </c:pt>
                <c:pt idx="26">
                  <c:v>461653.6</c:v>
                </c:pt>
                <c:pt idx="27">
                  <c:v>38017</c:v>
                </c:pt>
                <c:pt idx="28">
                  <c:v>15639.5</c:v>
                </c:pt>
                <c:pt idx="29">
                  <c:v>168292.95</c:v>
                </c:pt>
                <c:pt idx="30">
                  <c:v>68605.5</c:v>
                </c:pt>
                <c:pt idx="31">
                  <c:v>189082.5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5-4026-9507-99BFD5C79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451600"/>
        <c:axId val="580352047"/>
      </c:barChart>
      <c:catAx>
        <c:axId val="42345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0352047"/>
        <c:crosses val="autoZero"/>
        <c:auto val="1"/>
        <c:lblAlgn val="ctr"/>
        <c:lblOffset val="100"/>
        <c:noMultiLvlLbl val="0"/>
      </c:catAx>
      <c:valAx>
        <c:axId val="580352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3451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Sheet1!$BD$1</c:f>
              <c:strCache>
                <c:ptCount val="1"/>
                <c:pt idx="0">
                  <c:v>出货合计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Sheet1!$C$2:$C$33</c:f>
              <c:strCache>
                <c:ptCount val="32"/>
                <c:pt idx="0">
                  <c:v>深圳皇庭广场figgyfinds</c:v>
                </c:pt>
                <c:pt idx="1">
                  <c:v>福州东百中心</c:v>
                </c:pt>
                <c:pt idx="2">
                  <c:v>福州苏宁广场</c:v>
                </c:pt>
                <c:pt idx="3">
                  <c:v>福州苏宁广场solmo</c:v>
                </c:pt>
                <c:pt idx="4">
                  <c:v>福州X118多径</c:v>
                </c:pt>
                <c:pt idx="5">
                  <c:v>东百中心弹珠机</c:v>
                </c:pt>
                <c:pt idx="6">
                  <c:v>广州悦汇城负一</c:v>
                </c:pt>
                <c:pt idx="7">
                  <c:v>江门台山万达</c:v>
                </c:pt>
                <c:pt idx="8">
                  <c:v>广州保利时光里</c:v>
                </c:pt>
                <c:pt idx="9">
                  <c:v>广州南沙悦方城</c:v>
                </c:pt>
                <c:pt idx="10">
                  <c:v>广州南沙悦方城多径</c:v>
                </c:pt>
                <c:pt idx="11">
                  <c:v>健康港星河(广州星河多径)</c:v>
                </c:pt>
                <c:pt idx="12">
                  <c:v>深圳宝安怀德万象汇solmo</c:v>
                </c:pt>
                <c:pt idx="13">
                  <c:v>深圳宝安怀德万象汇figgyfinds</c:v>
                </c:pt>
                <c:pt idx="14">
                  <c:v>深圳龙岗大运天地figgyfinds</c:v>
                </c:pt>
                <c:pt idx="15">
                  <c:v>深圳海岸城爪物超柿</c:v>
                </c:pt>
                <c:pt idx="16">
                  <c:v>深圳布吉万象汇figgyfinds</c:v>
                </c:pt>
                <c:pt idx="17">
                  <c:v>广州花都骏壹万邦广场figgyfinds</c:v>
                </c:pt>
                <c:pt idx="18">
                  <c:v>东莞松山湖万象汇figgyfinds</c:v>
                </c:pt>
                <c:pt idx="19">
                  <c:v>福永益田假日</c:v>
                </c:pt>
                <c:pt idx="20">
                  <c:v>Solmo娃娃市集(摩尔城店)</c:v>
                </c:pt>
                <c:pt idx="21">
                  <c:v>上海宏伊广场</c:v>
                </c:pt>
                <c:pt idx="22">
                  <c:v>香港黄埔物超柿</c:v>
                </c:pt>
                <c:pt idx="23">
                  <c:v>香港九龙城店</c:v>
                </c:pt>
                <c:pt idx="24">
                  <c:v>香港宝林FF</c:v>
                </c:pt>
                <c:pt idx="25">
                  <c:v>香港将军澳店</c:v>
                </c:pt>
                <c:pt idx="26">
                  <c:v>香港K11</c:v>
                </c:pt>
                <c:pt idx="27">
                  <c:v>香港沙田希尔顿物超柿</c:v>
                </c:pt>
                <c:pt idx="28">
                  <c:v>香港如心物超柿</c:v>
                </c:pt>
                <c:pt idx="29">
                  <c:v>香港荃湾FF</c:v>
                </c:pt>
                <c:pt idx="30">
                  <c:v>香港大学物超柿</c:v>
                </c:pt>
                <c:pt idx="31">
                  <c:v> Figgy Finds娃娃市集(罗湖店)</c:v>
                </c:pt>
              </c:strCache>
            </c:strRef>
          </c:cat>
          <c:val>
            <c:numRef>
              <c:f>Sheet1!$BD$2:$BD$33</c:f>
              <c:numCache>
                <c:formatCode>#,##0</c:formatCode>
                <c:ptCount val="32"/>
                <c:pt idx="0">
                  <c:v>4691</c:v>
                </c:pt>
                <c:pt idx="1">
                  <c:v>3660.5</c:v>
                </c:pt>
                <c:pt idx="2">
                  <c:v>87.5</c:v>
                </c:pt>
                <c:pt idx="3">
                  <c:v>2387</c:v>
                </c:pt>
                <c:pt idx="4">
                  <c:v>164</c:v>
                </c:pt>
                <c:pt idx="5">
                  <c:v>0</c:v>
                </c:pt>
                <c:pt idx="6">
                  <c:v>2640</c:v>
                </c:pt>
                <c:pt idx="7">
                  <c:v>1845</c:v>
                </c:pt>
                <c:pt idx="8">
                  <c:v>2932</c:v>
                </c:pt>
                <c:pt idx="9">
                  <c:v>0</c:v>
                </c:pt>
                <c:pt idx="10">
                  <c:v>0</c:v>
                </c:pt>
                <c:pt idx="11">
                  <c:v>252.5</c:v>
                </c:pt>
                <c:pt idx="12">
                  <c:v>2499.5</c:v>
                </c:pt>
                <c:pt idx="13">
                  <c:v>12</c:v>
                </c:pt>
                <c:pt idx="14">
                  <c:v>2028</c:v>
                </c:pt>
                <c:pt idx="15">
                  <c:v>6102</c:v>
                </c:pt>
                <c:pt idx="16">
                  <c:v>4615</c:v>
                </c:pt>
                <c:pt idx="17">
                  <c:v>4307</c:v>
                </c:pt>
                <c:pt idx="18">
                  <c:v>4463.5</c:v>
                </c:pt>
                <c:pt idx="19">
                  <c:v>313.5</c:v>
                </c:pt>
                <c:pt idx="20">
                  <c:v>0</c:v>
                </c:pt>
                <c:pt idx="21">
                  <c:v>2147.5</c:v>
                </c:pt>
                <c:pt idx="22">
                  <c:v>14943.5</c:v>
                </c:pt>
                <c:pt idx="23">
                  <c:v>3</c:v>
                </c:pt>
                <c:pt idx="24">
                  <c:v>5049.5</c:v>
                </c:pt>
                <c:pt idx="25">
                  <c:v>1435</c:v>
                </c:pt>
                <c:pt idx="26">
                  <c:v>13124</c:v>
                </c:pt>
                <c:pt idx="27">
                  <c:v>5083</c:v>
                </c:pt>
                <c:pt idx="28">
                  <c:v>1692.5</c:v>
                </c:pt>
                <c:pt idx="29">
                  <c:v>9402</c:v>
                </c:pt>
                <c:pt idx="30">
                  <c:v>180.5</c:v>
                </c:pt>
                <c:pt idx="31">
                  <c:v>2603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80-4042-B137-75EF4AF417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4244448"/>
        <c:axId val="580456687"/>
      </c:barChart>
      <c:catAx>
        <c:axId val="1494244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80456687"/>
        <c:crosses val="autoZero"/>
        <c:auto val="1"/>
        <c:lblAlgn val="ctr"/>
        <c:lblOffset val="100"/>
        <c:noMultiLvlLbl val="0"/>
      </c:catAx>
      <c:valAx>
        <c:axId val="58045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4244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336550</xdr:colOff>
      <xdr:row>72</xdr:row>
      <xdr:rowOff>3174</xdr:rowOff>
    </xdr:from>
    <xdr:to>
      <xdr:col>5</xdr:col>
      <xdr:colOff>908050</xdr:colOff>
      <xdr:row>90</xdr:row>
      <xdr:rowOff>76200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EF749B5-FAA2-0BB0-1578-5087A6755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327350</xdr:colOff>
      <xdr:row>90</xdr:row>
      <xdr:rowOff>142621</xdr:rowOff>
    </xdr:from>
    <xdr:to>
      <xdr:col>5</xdr:col>
      <xdr:colOff>911412</xdr:colOff>
      <xdr:row>109</xdr:row>
      <xdr:rowOff>60444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B4DE7FE2-CC8B-E638-39C0-F5EA16D806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dy no" refreshedDate="46216.871469907404" createdVersion="8" refreshedVersion="8" minRefreshableVersion="3" recordCount="32" xr:uid="{1944B928-38EA-4AE8-ADFC-54BFD3F28DA7}">
  <cacheSource type="worksheet">
    <worksheetSource ref="A1:BP33" sheet="Sheet1"/>
  </cacheSource>
  <cacheFields count="68">
    <cacheField name="序号" numFmtId="0">
      <sharedItems containsSemiMixedTypes="0" containsString="0" containsNumber="1" containsInteger="1" minValue="1" maxValue="32"/>
    </cacheField>
    <cacheField name="负责人" numFmtId="0">
      <sharedItems/>
    </cacheField>
    <cacheField name="场地" numFmtId="0">
      <sharedItems count="32">
        <s v="深圳皇庭广场figgyfinds"/>
        <s v="福州东百中心"/>
        <s v="福州苏宁广场"/>
        <s v="福州苏宁广场solmo"/>
        <s v="福州X118多径"/>
        <s v="东百中心弹珠机"/>
        <s v="广州悦汇城负一"/>
        <s v="江门台山万达"/>
        <s v="广州保利时光里"/>
        <s v="广州南沙悦方城"/>
        <s v="广州南沙悦方城多径"/>
        <s v="健康港星河(广州星河多径)"/>
        <s v="深圳宝安怀德万象汇solmo"/>
        <s v="深圳宝安怀德万象汇figgyfinds"/>
        <s v="深圳龙岗大运天地figgyfinds"/>
        <s v="深圳海岸城爪物超柿"/>
        <s v="深圳布吉万象汇figgyfinds"/>
        <s v="广州花都骏壹万邦广场figgyfinds"/>
        <s v="东莞松山湖万象汇figgyfinds"/>
        <s v="福永益田假日"/>
        <s v="Solmo娃娃市集(摩尔城店)"/>
        <s v="上海宏伊广场"/>
        <s v="香港黄埔物超柿"/>
        <s v="香港九龙城店"/>
        <s v="香港宝林FF"/>
        <s v="香港将军澳店"/>
        <s v="香港K11"/>
        <s v="香港沙田希尔顿物超柿"/>
        <s v="香港如心物超柿"/>
        <s v="香港荃湾FF"/>
        <s v="香港大学物超柿"/>
        <s v=" Figgy Finds娃娃市集(罗湖店)"/>
      </sharedItems>
    </cacheField>
    <cacheField name="芸苔现金" numFmtId="4">
      <sharedItems containsString="0" containsBlank="1" containsNumber="1" minValue="0" maxValue="7351.1"/>
    </cacheField>
    <cacheField name="芸苔微信" numFmtId="4">
      <sharedItems containsString="0" containsBlank="1" containsNumber="1" minValue="0" maxValue="28043.45"/>
    </cacheField>
    <cacheField name="芸苔支付宝" numFmtId="4">
      <sharedItems containsString="0" containsBlank="1" containsNumber="1" minValue="0" maxValue="21668.3"/>
    </cacheField>
    <cacheField name="芸苔非团购" numFmtId="4">
      <sharedItems containsString="0" containsBlank="1" containsNumber="1" minValue="0" maxValue="51253"/>
    </cacheField>
    <cacheField name="抖音收款" numFmtId="4">
      <sharedItems containsString="0" containsBlank="1" containsNumber="1" minValue="14.75" maxValue="66939"/>
    </cacheField>
    <cacheField name="抖音手续费" numFmtId="4">
      <sharedItems containsString="0" containsBlank="1" containsNumber="1" minValue="0.74" maxValue="3368.2"/>
    </cacheField>
    <cacheField name="美团收款" numFmtId="0">
      <sharedItems containsString="0" containsBlank="1" containsNumber="1" minValue="402" maxValue="54848.35"/>
    </cacheField>
    <cacheField name="美团手续费" numFmtId="0">
      <sharedItems containsString="0" containsBlank="1" containsNumber="1" minValue="20.149999999999999" maxValue="3501.8249999999998"/>
    </cacheField>
    <cacheField name="乐摇摇收款" numFmtId="4">
      <sharedItems containsString="0" containsBlank="1" containsNumber="1" minValue="0" maxValue="3558.95"/>
    </cacheField>
    <cacheField name="多金宝现金" numFmtId="4">
      <sharedItems containsString="0" containsBlank="1" containsNumber="1" minValue="117.5" maxValue="5344.8"/>
    </cacheField>
    <cacheField name="多金宝非现金" numFmtId="4">
      <sharedItems containsString="0" containsBlank="1" containsNumber="1" minValue="0" maxValue="146906.82500000001"/>
    </cacheField>
    <cacheField name="汇联非现金" numFmtId="4">
      <sharedItems containsString="0" containsBlank="1" containsNumber="1" minValue="1732.4749999999999" maxValue="1732.4749999999999"/>
    </cacheField>
    <cacheField name="汇联现金" numFmtId="4">
      <sharedItems containsString="0" containsBlank="1" containsNumber="1" minValue="151.5" maxValue="151.5"/>
    </cacheField>
    <cacheField name="汇联手续费" numFmtId="4">
      <sharedItems containsString="0" containsBlank="1" containsNumber="1" minValue="10.625" maxValue="10.625"/>
    </cacheField>
    <cacheField name="StarThing非现金" numFmtId="4">
      <sharedItems containsString="0" containsBlank="1" containsNumber="1" minValue="4885" maxValue="111837.5"/>
    </cacheField>
    <cacheField name="StarThing现金" numFmtId="4">
      <sharedItems containsString="0" containsBlank="1" containsNumber="1" minValue="7345" maxValue="70945"/>
    </cacheField>
    <cacheField name="鲸舰非现金" numFmtId="4">
      <sharedItems containsString="0" containsBlank="1" containsNumber="1" minValue="3268.5" maxValue="146998.79999999999"/>
    </cacheField>
    <cacheField name="鲸舰现金" numFmtId="4">
      <sharedItems containsString="0" containsBlank="1" containsNumber="1" minValue="8432" maxValue="332049.5"/>
    </cacheField>
    <cacheField name="Kpay收款" numFmtId="4">
      <sharedItems containsString="0" containsBlank="1" containsNumber="1" minValue="294.5" maxValue="18309.5"/>
    </cacheField>
    <cacheField name="Kpay手续费" numFmtId="4">
      <sharedItems containsString="0" containsBlank="1" containsNumber="1" minValue="5.24" maxValue="263.64999999999998"/>
    </cacheField>
    <cacheField name="八达通收款" numFmtId="4">
      <sharedItems containsBlank="1" containsMixedTypes="1" containsNumber="1" minValue="3909.5" maxValue="3909.5"/>
    </cacheField>
    <cacheField name="八达通手续费" numFmtId="4">
      <sharedItems containsNonDate="0" containsString="0" containsBlank="1"/>
    </cacheField>
    <cacheField name="芸苔远程取币" numFmtId="4">
      <sharedItems containsString="0" containsBlank="1" containsNumber="1" minValue="-589.6" maxValue="720.5"/>
    </cacheField>
    <cacheField name="其他收入" numFmtId="4">
      <sharedItems containsString="0" containsBlank="1" containsNumber="1" minValue="10.88" maxValue="14945"/>
    </cacheField>
    <cacheField name="收入汇总" numFmtId="4">
      <sharedItems containsSemiMixedTypes="0" containsString="0" containsNumber="1" minValue="0" maxValue="461653.6"/>
    </cacheField>
    <cacheField name="扣除手续费后" numFmtId="4">
      <sharedItems containsSemiMixedTypes="0" containsString="0" containsNumber="1" minValue="0" maxValue="461653.6"/>
    </cacheField>
    <cacheField name="基础货款" numFmtId="4">
      <sharedItems containsString="0" containsBlank="1" containsNumber="1" minValue="-17658.25" maxValue="287886.92"/>
    </cacheField>
    <cacheField name="StarThing积分货款" numFmtId="4">
      <sharedItems containsSemiMixedTypes="0" containsString="0" containsNumber="1" minValue="0" maxValue="16811"/>
    </cacheField>
    <cacheField name="鲸舰积分货款" numFmtId="4">
      <sharedItems containsSemiMixedTypes="0" containsString="0" containsNumber="1" minValue="-49642" maxValue="58234.5"/>
    </cacheField>
    <cacheField name="新系统积分货款" numFmtId="4">
      <sharedItems containsSemiMixedTypes="0" containsString="0" containsNumber="1" minValue="-73754.25" maxValue="21251.25"/>
    </cacheField>
    <cacheField name="芸苔积分货款" numFmtId="4">
      <sharedItems containsSemiMixedTypes="0" containsString="0" containsNumber="1" minValue="0" maxValue="2414.25"/>
    </cacheField>
    <cacheField name="总货款" numFmtId="4">
      <sharedItems containsSemiMixedTypes="0" containsString="0" containsNumber="1" minValue="-17658.25" maxValue="346121.42"/>
    </cacheField>
    <cacheField name="货款比%" numFmtId="10">
      <sharedItems containsSemiMixedTypes="0" containsString="0" containsNumber="1" minValue="-1.89046830127373" maxValue="1.1825614856511562"/>
    </cacheField>
    <cacheField name="预计收入(万元)" numFmtId="4">
      <sharedItems containsNonDate="0" containsString="0" containsBlank="1"/>
    </cacheField>
    <cacheField name="预收入完成率" numFmtId="10">
      <sharedItems containsNonDate="0" containsString="0" containsBlank="1"/>
    </cacheField>
    <cacheField name="现金" numFmtId="4">
      <sharedItems containsSemiMixedTypes="0" containsString="0" containsNumber="1" minValue="0" maxValue="332049.5"/>
    </cacheField>
    <cacheField name="芸苔投币" numFmtId="3">
      <sharedItems containsString="0" containsBlank="1" containsNumber="1" minValue="0" maxValue="99062"/>
    </cacheField>
    <cacheField name="多金宝投币" numFmtId="3">
      <sharedItems containsString="0" containsBlank="1" containsNumber="1" minValue="0" maxValue="426866.5"/>
    </cacheField>
    <cacheField name="乐摇摇投币" numFmtId="3">
      <sharedItems containsString="0" containsBlank="1" containsNumber="1" minValue="2.5" maxValue="161281"/>
    </cacheField>
    <cacheField name="StarThing投币" numFmtId="3">
      <sharedItems containsNonDate="0" containsString="0" containsBlank="1"/>
    </cacheField>
    <cacheField name="鲸舰投币" numFmtId="3">
      <sharedItems containsString="0" containsBlank="1" containsNumber="1" minValue="14412" maxValue="607582.5"/>
    </cacheField>
    <cacheField name="投币合计" numFmtId="3">
      <sharedItems containsSemiMixedTypes="0" containsString="0" containsNumber="1" minValue="0" maxValue="607582.5"/>
    </cacheField>
    <cacheField name="芸苔出币" numFmtId="3">
      <sharedItems containsString="0" containsBlank="1" containsNumber="1" minValue="0" maxValue="381044.5"/>
    </cacheField>
    <cacheField name="StarThing出币" numFmtId="3">
      <sharedItems containsString="0" containsBlank="1" containsNumber="1" minValue="0" maxValue="371008.5"/>
    </cacheField>
    <cacheField name="鲸舰出币" numFmtId="3">
      <sharedItems containsString="0" containsBlank="1" containsNumber="1" minValue="10715" maxValue="598338.5"/>
    </cacheField>
    <cacheField name="多金宝出币" numFmtId="3">
      <sharedItems containsString="0" containsBlank="1" containsNumber="1" minValue="0" maxValue="533912"/>
    </cacheField>
    <cacheField name="出币合计" numFmtId="3">
      <sharedItems containsSemiMixedTypes="0" containsString="0" containsNumber="1" minValue="0" maxValue="598338.5"/>
    </cacheField>
    <cacheField name="芸苔出货" numFmtId="3">
      <sharedItems containsString="0" containsBlank="1" containsNumber="1" minValue="0" maxValue="2932"/>
    </cacheField>
    <cacheField name="多金宝出货" numFmtId="3">
      <sharedItems containsString="0" containsBlank="1" containsNumber="1" minValue="0" maxValue="6102"/>
    </cacheField>
    <cacheField name="乐摇摇出货" numFmtId="3">
      <sharedItems containsString="0" containsBlank="1" containsNumber="1" minValue="0.5" maxValue="3557"/>
    </cacheField>
    <cacheField name="StarThing出货" numFmtId="3">
      <sharedItems containsString="0" containsBlank="1" containsNumber="1" minValue="0" maxValue="5049.5"/>
    </cacheField>
    <cacheField name="鲸舰出货" numFmtId="3">
      <sharedItems containsString="0" containsBlank="1" containsNumber="1" minValue="180.5" maxValue="14943.5"/>
    </cacheField>
    <cacheField name="出货合计" numFmtId="3">
      <sharedItems containsSemiMixedTypes="0" containsString="0" containsNumber="1" minValue="0" maxValue="14943.5"/>
    </cacheField>
    <cacheField name="鲸舰积分增加" numFmtId="3">
      <sharedItems containsString="0" containsBlank="1" containsNumber="1" minValue="1335.5" maxValue="140615.5"/>
    </cacheField>
    <cacheField name="鲸舰积分减少" numFmtId="3">
      <sharedItems containsString="0" containsBlank="1" containsNumber="1" minValue="12203.5" maxValue="135721"/>
    </cacheField>
    <cacheField name="新系统积分增加" numFmtId="3">
      <sharedItems containsString="0" containsBlank="1" containsNumber="1" minValue="0" maxValue="44235.5"/>
    </cacheField>
    <cacheField name="新系统积分减少" numFmtId="3">
      <sharedItems containsString="0" containsBlank="1" containsNumber="1" minValue="0" maxValue="93405"/>
    </cacheField>
    <cacheField name="StarThing积分增加" numFmtId="3">
      <sharedItems containsString="0" containsBlank="1" containsNumber="1" minValue="0" maxValue="45565.32"/>
    </cacheField>
    <cacheField name="StarThing积分减少" numFmtId="3">
      <sharedItems containsString="0" containsBlank="1" containsNumber="1" minValue="0" maxValue="28754.32"/>
    </cacheField>
    <cacheField name="芸苔积分增加" numFmtId="3">
      <sharedItems containsString="0" containsBlank="1" containsNumber="1" minValue="0" maxValue="6218.5"/>
    </cacheField>
    <cacheField name="芸苔积分减少" numFmtId="3">
      <sharedItems containsString="0" containsBlank="1" containsNumber="1" containsInteger="1" minValue="0" maxValue="4609"/>
    </cacheField>
    <cacheField name="存货合计" numFmtId="3">
      <sharedItems containsSemiMixedTypes="0" containsString="0" containsNumber="1" minValue="0" maxValue="140615.5"/>
    </cacheField>
    <cacheField name="存货比率（存货与出货比）" numFmtId="4">
      <sharedItems containsString="0" containsBlank="1" containsNumber="1" minValue="0" maxValue="11.9367687726015"/>
    </cacheField>
    <cacheField name="币值（收入与投币比）" numFmtId="4">
      <sharedItems containsSemiMixedTypes="0" containsString="0" containsNumber="1" minValue="0" maxValue="78.393483709273184"/>
    </cacheField>
    <cacheField name="出货率（投币与出货比）" numFmtId="4">
      <sharedItems containsString="0" containsBlank="1" containsNumber="1" minValue="0" maxValue="129.423780487804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n v="1"/>
    <s v="洪奕翔"/>
    <x v="0"/>
    <m/>
    <m/>
    <m/>
    <m/>
    <n v="32618.9"/>
    <n v="1670.37"/>
    <n v="48559"/>
    <n v="2455.52"/>
    <m/>
    <n v="5344.8"/>
    <n v="146906.82500000001"/>
    <m/>
    <m/>
    <m/>
    <m/>
    <m/>
    <m/>
    <m/>
    <m/>
    <m/>
    <m/>
    <m/>
    <m/>
    <m/>
    <n v="233429.52500000002"/>
    <n v="228422.19404999999"/>
    <n v="79099.065000000002"/>
    <n v="0"/>
    <n v="0"/>
    <n v="-73754.25"/>
    <n v="0"/>
    <n v="5344.8149999999996"/>
    <n v="2.289691074854391E-2"/>
    <m/>
    <m/>
    <n v="5344.8"/>
    <m/>
    <n v="426866.5"/>
    <m/>
    <m/>
    <m/>
    <n v="426866.5"/>
    <m/>
    <m/>
    <m/>
    <n v="510203.5"/>
    <n v="510203.5"/>
    <m/>
    <n v="4691"/>
    <m/>
    <m/>
    <m/>
    <n v="4691"/>
    <m/>
    <m/>
    <n v="44235.5"/>
    <n v="93405"/>
    <m/>
    <m/>
    <m/>
    <m/>
    <n v="44235.5"/>
    <n v="9.4298657002771193"/>
    <n v="0.54684432955033957"/>
    <n v="90.996908974632206"/>
  </r>
  <r>
    <n v="2"/>
    <s v="郑伟峰"/>
    <x v="1"/>
    <n v="7351.1"/>
    <n v="22088.75"/>
    <n v="3159.65"/>
    <n v="32599.5"/>
    <n v="66864.600000000006"/>
    <n v="3347.3449999999998"/>
    <n v="21847.599999999999"/>
    <n v="1094.3499999999999"/>
    <n v="3558.95"/>
    <m/>
    <m/>
    <m/>
    <m/>
    <m/>
    <m/>
    <m/>
    <m/>
    <m/>
    <m/>
    <m/>
    <m/>
    <m/>
    <n v="0"/>
    <m/>
    <n v="124870.65000000001"/>
    <n v="120256.1109"/>
    <n v="-10299.195"/>
    <n v="0"/>
    <n v="0"/>
    <n v="-1413.75"/>
    <n v="0"/>
    <n v="-11712.945"/>
    <n v="-9.3800624886632683E-2"/>
    <m/>
    <m/>
    <n v="7351.1"/>
    <n v="42703.5"/>
    <m/>
    <n v="161281"/>
    <m/>
    <m/>
    <n v="203984.5"/>
    <n v="169926"/>
    <m/>
    <m/>
    <m/>
    <n v="169926"/>
    <n v="103.5"/>
    <m/>
    <n v="3557"/>
    <m/>
    <m/>
    <n v="3660.5"/>
    <m/>
    <m/>
    <n v="4868.5"/>
    <n v="5811"/>
    <m/>
    <m/>
    <n v="0"/>
    <n v="0"/>
    <n v="4868.5"/>
    <n v="1.3300095615353"/>
    <n v="0.61215754138182077"/>
    <n v="55.7258571233438"/>
  </r>
  <r>
    <n v="3"/>
    <s v="郑伟峰"/>
    <x v="2"/>
    <n v="90"/>
    <n v="1459.85"/>
    <n v="260"/>
    <n v="1809.85"/>
    <n v="855.45"/>
    <n v="42.75"/>
    <n v="402"/>
    <n v="20.149999999999999"/>
    <m/>
    <m/>
    <m/>
    <m/>
    <m/>
    <m/>
    <m/>
    <m/>
    <m/>
    <m/>
    <m/>
    <m/>
    <m/>
    <m/>
    <n v="0"/>
    <m/>
    <n v="3067.3"/>
    <n v="2994.0808999999999"/>
    <m/>
    <n v="0"/>
    <n v="0"/>
    <n v="0"/>
    <n v="0"/>
    <n v="0"/>
    <n v="0"/>
    <m/>
    <m/>
    <n v="90"/>
    <n v="5412.5"/>
    <m/>
    <m/>
    <m/>
    <m/>
    <n v="5412.5"/>
    <n v="3699.5"/>
    <m/>
    <m/>
    <m/>
    <n v="3699.5"/>
    <n v="87.5"/>
    <m/>
    <m/>
    <m/>
    <m/>
    <n v="87.5"/>
    <m/>
    <m/>
    <m/>
    <m/>
    <m/>
    <m/>
    <n v="0"/>
    <n v="0"/>
    <n v="0"/>
    <n v="0"/>
    <n v="0.56670669745958435"/>
    <n v="61.857142857142797"/>
  </r>
  <r>
    <n v="4"/>
    <s v="郑伟峰"/>
    <x v="3"/>
    <m/>
    <m/>
    <m/>
    <m/>
    <n v="46715.8"/>
    <n v="2350.2350000000001"/>
    <n v="19334.349999999999"/>
    <n v="1466.94"/>
    <m/>
    <n v="581.35"/>
    <n v="16288.4"/>
    <m/>
    <m/>
    <m/>
    <m/>
    <m/>
    <m/>
    <m/>
    <m/>
    <m/>
    <m/>
    <m/>
    <m/>
    <m/>
    <n v="82919.899999999994"/>
    <n v="79004.994600000005"/>
    <n v="35286.1"/>
    <n v="0"/>
    <n v="0"/>
    <n v="3510"/>
    <n v="0"/>
    <n v="38796.1"/>
    <n v="0.46787441856538659"/>
    <m/>
    <m/>
    <n v="581.35"/>
    <m/>
    <n v="113416"/>
    <m/>
    <m/>
    <m/>
    <n v="113416"/>
    <m/>
    <m/>
    <m/>
    <n v="467904.5"/>
    <n v="467904.5"/>
    <m/>
    <n v="2387"/>
    <m/>
    <m/>
    <m/>
    <n v="2387"/>
    <m/>
    <m/>
    <n v="5463"/>
    <n v="3123"/>
    <m/>
    <m/>
    <m/>
    <m/>
    <n v="5463"/>
    <n v="2.2886468370339301"/>
    <n v="0.73111289412428582"/>
    <n v="47.514034352743998"/>
  </r>
  <r>
    <n v="5"/>
    <s v="郑伟峰"/>
    <x v="4"/>
    <n v="245"/>
    <n v="4697.8500000000004"/>
    <n v="524.9"/>
    <n v="5467.75"/>
    <n v="5075.55"/>
    <n v="253.86"/>
    <n v="1437.2"/>
    <n v="72"/>
    <n v="460.85"/>
    <m/>
    <m/>
    <m/>
    <m/>
    <m/>
    <m/>
    <m/>
    <m/>
    <m/>
    <m/>
    <m/>
    <m/>
    <m/>
    <n v="0"/>
    <m/>
    <n v="12441.35"/>
    <n v="12081.3884"/>
    <n v="1052"/>
    <n v="0"/>
    <n v="0"/>
    <n v="0"/>
    <n v="0"/>
    <n v="1052"/>
    <n v="8.4556740225136331E-2"/>
    <m/>
    <m/>
    <n v="245"/>
    <n v="17466"/>
    <m/>
    <n v="3759.5"/>
    <m/>
    <m/>
    <n v="21225.5"/>
    <n v="18148.5"/>
    <m/>
    <m/>
    <m/>
    <n v="18148.5"/>
    <n v="141"/>
    <m/>
    <n v="23"/>
    <m/>
    <m/>
    <n v="164"/>
    <m/>
    <m/>
    <m/>
    <m/>
    <m/>
    <m/>
    <n v="0"/>
    <n v="0"/>
    <n v="0"/>
    <n v="0"/>
    <n v="0.5861510918470707"/>
    <n v="129.42378048780401"/>
  </r>
  <r>
    <n v="6"/>
    <s v="郑伟峰"/>
    <x v="5"/>
    <n v="53.5"/>
    <n v="3050.35"/>
    <n v="353.35"/>
    <n v="3457.2"/>
    <m/>
    <m/>
    <m/>
    <m/>
    <m/>
    <m/>
    <m/>
    <m/>
    <m/>
    <m/>
    <m/>
    <m/>
    <m/>
    <m/>
    <m/>
    <m/>
    <m/>
    <m/>
    <n v="0"/>
    <m/>
    <n v="3457.2"/>
    <n v="3436.7777999999998"/>
    <n v="40"/>
    <n v="0"/>
    <n v="0"/>
    <n v="2594.25"/>
    <n v="0"/>
    <n v="2634.25"/>
    <n v="0.76196054610667596"/>
    <m/>
    <m/>
    <n v="53.5"/>
    <n v="0"/>
    <m/>
    <m/>
    <m/>
    <m/>
    <n v="0"/>
    <n v="381044.5"/>
    <m/>
    <m/>
    <m/>
    <n v="381044.5"/>
    <n v="0"/>
    <m/>
    <m/>
    <m/>
    <m/>
    <n v="0"/>
    <m/>
    <m/>
    <n v="2329"/>
    <n v="599.5"/>
    <m/>
    <m/>
    <n v="0"/>
    <n v="0"/>
    <n v="2329"/>
    <m/>
    <n v="0"/>
    <m/>
  </r>
  <r>
    <n v="7"/>
    <s v="方小丹"/>
    <x v="6"/>
    <n v="2217.5"/>
    <n v="28043.45"/>
    <n v="5652.75"/>
    <n v="35913.699999999997"/>
    <n v="14.75"/>
    <n v="0.74"/>
    <n v="14355.55"/>
    <n v="719.3"/>
    <m/>
    <m/>
    <m/>
    <m/>
    <m/>
    <m/>
    <m/>
    <m/>
    <m/>
    <m/>
    <m/>
    <m/>
    <m/>
    <m/>
    <n v="-589.6"/>
    <m/>
    <n v="49694.400000000001"/>
    <n v="48772.182800000002"/>
    <n v="12587.79"/>
    <n v="0"/>
    <n v="0"/>
    <n v="-756.75"/>
    <n v="0"/>
    <n v="11831.04"/>
    <n v="0.2380759200231817"/>
    <m/>
    <m/>
    <n v="2217.5"/>
    <n v="99062"/>
    <m/>
    <m/>
    <m/>
    <m/>
    <n v="99062"/>
    <n v="88889.5"/>
    <m/>
    <m/>
    <m/>
    <n v="88889.5"/>
    <n v="2640"/>
    <m/>
    <m/>
    <m/>
    <m/>
    <n v="2640"/>
    <m/>
    <m/>
    <n v="2319.5"/>
    <n v="2824"/>
    <m/>
    <m/>
    <n v="0"/>
    <n v="0"/>
    <n v="2319.5"/>
    <n v="0.87859848484848402"/>
    <n v="0.50164947204780841"/>
    <n v="37.523484848484799"/>
  </r>
  <r>
    <n v="8"/>
    <s v="方小丹"/>
    <x v="7"/>
    <n v="1626"/>
    <n v="14033.8"/>
    <n v="1835.5"/>
    <n v="17495.3"/>
    <n v="10002"/>
    <n v="508.16500000000002"/>
    <n v="6036.3"/>
    <n v="302.44"/>
    <m/>
    <m/>
    <m/>
    <m/>
    <m/>
    <m/>
    <m/>
    <m/>
    <m/>
    <m/>
    <m/>
    <m/>
    <m/>
    <m/>
    <n v="-67.924999999999997"/>
    <m/>
    <n v="33465.674999999996"/>
    <n v="32559.854200000002"/>
    <n v="10588.75"/>
    <n v="0"/>
    <n v="0"/>
    <n v="480"/>
    <n v="0"/>
    <n v="11068.75"/>
    <n v="0.33074934242324416"/>
    <m/>
    <m/>
    <n v="1626"/>
    <n v="62416.5"/>
    <m/>
    <m/>
    <m/>
    <m/>
    <n v="62416.5"/>
    <n v="80520.5"/>
    <m/>
    <m/>
    <m/>
    <n v="80520.5"/>
    <n v="1845"/>
    <m/>
    <m/>
    <m/>
    <m/>
    <n v="1845"/>
    <m/>
    <m/>
    <n v="1657.5"/>
    <n v="1337.5"/>
    <m/>
    <m/>
    <n v="0"/>
    <n v="0"/>
    <n v="1657.5"/>
    <n v="0.89837398373983701"/>
    <n v="0.53616711927134642"/>
    <n v="33.830081300812999"/>
  </r>
  <r>
    <n v="9"/>
    <s v="方小丹"/>
    <x v="8"/>
    <n v="3546.3"/>
    <n v="27647.3"/>
    <n v="3075.95"/>
    <n v="34269.550000000003"/>
    <n v="14166.95"/>
    <n v="710.22500000000002"/>
    <n v="8825.4"/>
    <n v="442.25"/>
    <m/>
    <m/>
    <m/>
    <m/>
    <m/>
    <m/>
    <m/>
    <m/>
    <m/>
    <m/>
    <m/>
    <m/>
    <m/>
    <m/>
    <n v="720.5"/>
    <m/>
    <n v="57982.400000000001"/>
    <n v="56645.585500000001"/>
    <n v="16649.55"/>
    <n v="0"/>
    <n v="0"/>
    <n v="0"/>
    <n v="2414.25"/>
    <n v="19063.8"/>
    <n v="0.3287859764342283"/>
    <m/>
    <m/>
    <n v="3546.3"/>
    <n v="97847.5"/>
    <m/>
    <m/>
    <m/>
    <m/>
    <n v="97847.5"/>
    <n v="99388"/>
    <m/>
    <m/>
    <m/>
    <n v="99388"/>
    <n v="2932"/>
    <m/>
    <m/>
    <m/>
    <m/>
    <n v="2932"/>
    <m/>
    <m/>
    <m/>
    <m/>
    <m/>
    <m/>
    <n v="6218.5"/>
    <n v="4609"/>
    <n v="6218.5"/>
    <n v="2.1209072305593399"/>
    <n v="0.59257926876006028"/>
    <n v="33.372271487039498"/>
  </r>
  <r>
    <n v="10"/>
    <s v="方小丹"/>
    <x v="9"/>
    <n v="0"/>
    <n v="0"/>
    <n v="0"/>
    <n v="0"/>
    <m/>
    <m/>
    <m/>
    <m/>
    <m/>
    <m/>
    <m/>
    <m/>
    <m/>
    <m/>
    <m/>
    <m/>
    <m/>
    <m/>
    <m/>
    <m/>
    <m/>
    <m/>
    <n v="0"/>
    <m/>
    <n v="0"/>
    <n v="0"/>
    <m/>
    <n v="0"/>
    <n v="0"/>
    <n v="-192"/>
    <n v="0"/>
    <n v="-192"/>
    <n v="0"/>
    <m/>
    <m/>
    <n v="0"/>
    <n v="0"/>
    <m/>
    <m/>
    <m/>
    <m/>
    <n v="0"/>
    <n v="0"/>
    <m/>
    <m/>
    <m/>
    <n v="0"/>
    <n v="0"/>
    <m/>
    <m/>
    <m/>
    <m/>
    <n v="0"/>
    <m/>
    <m/>
    <n v="20.5"/>
    <n v="148.5"/>
    <m/>
    <m/>
    <n v="0"/>
    <n v="0"/>
    <n v="20.5"/>
    <m/>
    <n v="0"/>
    <m/>
  </r>
  <r>
    <n v="11"/>
    <s v="方小丹"/>
    <x v="10"/>
    <n v="0"/>
    <n v="0"/>
    <n v="0"/>
    <n v="0"/>
    <m/>
    <m/>
    <m/>
    <m/>
    <m/>
    <m/>
    <m/>
    <m/>
    <m/>
    <m/>
    <m/>
    <m/>
    <m/>
    <m/>
    <m/>
    <m/>
    <m/>
    <m/>
    <n v="0"/>
    <m/>
    <n v="0"/>
    <n v="0"/>
    <m/>
    <n v="0"/>
    <n v="0"/>
    <n v="0"/>
    <n v="0"/>
    <n v="0"/>
    <n v="0"/>
    <m/>
    <m/>
    <n v="0"/>
    <n v="0"/>
    <m/>
    <m/>
    <m/>
    <m/>
    <n v="0"/>
    <n v="0"/>
    <m/>
    <m/>
    <m/>
    <n v="0"/>
    <n v="0"/>
    <m/>
    <m/>
    <m/>
    <m/>
    <n v="0"/>
    <m/>
    <m/>
    <m/>
    <m/>
    <m/>
    <m/>
    <n v="0"/>
    <n v="0"/>
    <n v="0"/>
    <m/>
    <n v="0"/>
    <m/>
  </r>
  <r>
    <n v="12"/>
    <s v="方小丹"/>
    <x v="11"/>
    <n v="233.5"/>
    <n v="2892.45"/>
    <n v="348.15"/>
    <n v="3474.1"/>
    <m/>
    <m/>
    <m/>
    <m/>
    <n v="44.85"/>
    <m/>
    <m/>
    <m/>
    <m/>
    <m/>
    <m/>
    <m/>
    <m/>
    <m/>
    <m/>
    <m/>
    <m/>
    <m/>
    <n v="0"/>
    <m/>
    <n v="3518.95"/>
    <n v="3499.2372999999998"/>
    <m/>
    <n v="0"/>
    <n v="0"/>
    <n v="0"/>
    <n v="0"/>
    <n v="0"/>
    <n v="0"/>
    <m/>
    <m/>
    <n v="233.5"/>
    <n v="2865.5"/>
    <m/>
    <n v="3333"/>
    <m/>
    <m/>
    <n v="6198.5"/>
    <n v="5870.5"/>
    <m/>
    <m/>
    <m/>
    <n v="5870.5"/>
    <n v="107"/>
    <m/>
    <n v="145.5"/>
    <m/>
    <m/>
    <n v="252.5"/>
    <m/>
    <m/>
    <m/>
    <m/>
    <m/>
    <m/>
    <n v="0"/>
    <n v="0"/>
    <n v="0"/>
    <n v="0"/>
    <n v="0.56770992982173107"/>
    <n v="24.548514851485098"/>
  </r>
  <r>
    <n v="13"/>
    <s v="方小丹"/>
    <x v="12"/>
    <n v="0"/>
    <n v="0"/>
    <n v="0"/>
    <n v="0"/>
    <n v="8183.6"/>
    <n v="411.21"/>
    <n v="4868.1000000000004"/>
    <n v="350.53"/>
    <m/>
    <n v="798"/>
    <n v="12964.6"/>
    <m/>
    <m/>
    <m/>
    <m/>
    <m/>
    <m/>
    <m/>
    <m/>
    <m/>
    <m/>
    <m/>
    <n v="0"/>
    <n v="64.23"/>
    <n v="26878.530000000002"/>
    <n v="26039.002400000001"/>
    <n v="9869.5249999999996"/>
    <n v="0"/>
    <n v="0"/>
    <n v="-605.25"/>
    <n v="0"/>
    <n v="9264.2749999999996"/>
    <n v="0.34467193704417609"/>
    <m/>
    <m/>
    <n v="798"/>
    <n v="0"/>
    <n v="60258"/>
    <m/>
    <m/>
    <m/>
    <n v="60258"/>
    <n v="0"/>
    <m/>
    <m/>
    <n v="111309.5"/>
    <n v="111309.5"/>
    <n v="0"/>
    <n v="2499.5"/>
    <m/>
    <m/>
    <m/>
    <n v="2499.5"/>
    <m/>
    <m/>
    <n v="329"/>
    <n v="732.5"/>
    <m/>
    <m/>
    <n v="0"/>
    <n v="0"/>
    <n v="329"/>
    <n v="0.131626325265053"/>
    <n v="0.44605745295230514"/>
    <n v="24.1080216043208"/>
  </r>
  <r>
    <n v="14"/>
    <s v="方小丹"/>
    <x v="13"/>
    <m/>
    <m/>
    <m/>
    <m/>
    <n v="890.15"/>
    <n v="45.28"/>
    <m/>
    <m/>
    <n v="0"/>
    <n v="117.5"/>
    <n v="1775.65"/>
    <m/>
    <m/>
    <m/>
    <m/>
    <m/>
    <m/>
    <m/>
    <m/>
    <m/>
    <m/>
    <m/>
    <m/>
    <n v="11.23"/>
    <n v="2794.53"/>
    <n v="2738.5961000000002"/>
    <n v="446.64499999999998"/>
    <n v="0"/>
    <n v="0"/>
    <n v="-156.75"/>
    <n v="0"/>
    <n v="289.89499999999998"/>
    <n v="0.10373658540076505"/>
    <m/>
    <m/>
    <n v="117.5"/>
    <m/>
    <n v="997.5"/>
    <n v="13.5"/>
    <m/>
    <m/>
    <n v="1011"/>
    <m/>
    <m/>
    <m/>
    <n v="17203"/>
    <n v="17203"/>
    <m/>
    <n v="11.5"/>
    <n v="0.5"/>
    <m/>
    <m/>
    <n v="12"/>
    <m/>
    <m/>
    <n v="0"/>
    <n v="104.5"/>
    <m/>
    <m/>
    <m/>
    <m/>
    <n v="0"/>
    <n v="0"/>
    <n v="2.7641246290801189"/>
    <n v="84.25"/>
  </r>
  <r>
    <n v="15"/>
    <s v="方小丹"/>
    <x v="14"/>
    <m/>
    <m/>
    <m/>
    <m/>
    <n v="38723.449999999997"/>
    <n v="1943.64"/>
    <n v="20011.2"/>
    <n v="1276.135"/>
    <m/>
    <n v="1463.4"/>
    <n v="20643"/>
    <m/>
    <m/>
    <m/>
    <m/>
    <m/>
    <m/>
    <m/>
    <m/>
    <m/>
    <m/>
    <m/>
    <m/>
    <n v="411.72"/>
    <n v="81252.76999999999"/>
    <n v="77909.137000000002"/>
    <n v="22911.235000000001"/>
    <n v="0"/>
    <n v="0"/>
    <n v="-5130"/>
    <n v="0"/>
    <n v="17781.235000000001"/>
    <n v="0.21883850852100184"/>
    <m/>
    <m/>
    <n v="1463.4"/>
    <m/>
    <n v="91854"/>
    <m/>
    <m/>
    <m/>
    <n v="91854"/>
    <m/>
    <m/>
    <m/>
    <n v="365546"/>
    <n v="365546"/>
    <m/>
    <n v="2028"/>
    <m/>
    <m/>
    <m/>
    <n v="2028"/>
    <m/>
    <m/>
    <n v="6783.5"/>
    <n v="10203.5"/>
    <m/>
    <m/>
    <m/>
    <m/>
    <n v="6783.5"/>
    <n v="3.3449211045364802"/>
    <n v="0.88458608226097923"/>
    <n v="45.292899408284001"/>
  </r>
  <r>
    <n v="16"/>
    <s v="方小丹"/>
    <x v="15"/>
    <m/>
    <m/>
    <m/>
    <m/>
    <n v="29449.205000000002"/>
    <n v="1486.46"/>
    <n v="54848.35"/>
    <n v="3501.8249999999998"/>
    <m/>
    <n v="1908.55"/>
    <n v="68561.2"/>
    <m/>
    <m/>
    <m/>
    <m/>
    <m/>
    <m/>
    <m/>
    <m/>
    <m/>
    <m/>
    <m/>
    <m/>
    <m/>
    <n v="154767.30499999999"/>
    <n v="149367.65280000001"/>
    <n v="90509.684999999998"/>
    <n v="0"/>
    <n v="0"/>
    <n v="21251.25"/>
    <n v="0"/>
    <n v="111760.935"/>
    <n v="0.72212238237268522"/>
    <m/>
    <m/>
    <n v="1908.55"/>
    <m/>
    <n v="302312"/>
    <m/>
    <m/>
    <m/>
    <n v="302312"/>
    <m/>
    <m/>
    <m/>
    <n v="365424.5"/>
    <n v="365424.5"/>
    <m/>
    <n v="6102"/>
    <m/>
    <m/>
    <m/>
    <n v="6102"/>
    <m/>
    <m/>
    <n v="16426.5"/>
    <n v="2259"/>
    <m/>
    <m/>
    <m/>
    <m/>
    <n v="16426.5"/>
    <n v="2.6919862340216301"/>
    <n v="0.51194562240334485"/>
    <n v="49.5431006227466"/>
  </r>
  <r>
    <n v="17"/>
    <s v="方小丹"/>
    <x v="16"/>
    <m/>
    <m/>
    <m/>
    <m/>
    <n v="46630.35"/>
    <n v="2346.89"/>
    <n v="33972.050000000003"/>
    <n v="1509.66"/>
    <m/>
    <n v="2113.1999999999998"/>
    <n v="35279.75"/>
    <m/>
    <m/>
    <m/>
    <m/>
    <m/>
    <m/>
    <m/>
    <m/>
    <m/>
    <m/>
    <m/>
    <m/>
    <n v="500"/>
    <n v="118495.34999999999"/>
    <n v="114427.12149999999"/>
    <n v="45770.345000000001"/>
    <n v="0"/>
    <n v="0"/>
    <n v="-69"/>
    <n v="0"/>
    <n v="45701.345000000001"/>
    <n v="0.38568049294761358"/>
    <m/>
    <m/>
    <n v="2113.1999999999998"/>
    <m/>
    <n v="231439.5"/>
    <m/>
    <m/>
    <m/>
    <n v="231439.5"/>
    <m/>
    <m/>
    <m/>
    <n v="250575"/>
    <n v="250575"/>
    <m/>
    <n v="4615"/>
    <m/>
    <m/>
    <m/>
    <n v="4615"/>
    <m/>
    <m/>
    <n v="18928.5"/>
    <n v="18974.5"/>
    <m/>
    <m/>
    <m/>
    <m/>
    <n v="18928.5"/>
    <n v="4.1015167930660796"/>
    <n v="0.5119927670082246"/>
    <n v="50.149404117009702"/>
  </r>
  <r>
    <n v="18"/>
    <s v="方小丹"/>
    <x v="17"/>
    <m/>
    <m/>
    <m/>
    <m/>
    <n v="36282.31"/>
    <n v="1824.89"/>
    <n v="38994.400000000001"/>
    <n v="2479.605"/>
    <m/>
    <n v="2082"/>
    <n v="43626.35"/>
    <m/>
    <m/>
    <m/>
    <m/>
    <m/>
    <m/>
    <m/>
    <m/>
    <m/>
    <m/>
    <m/>
    <m/>
    <m/>
    <n v="120985.06"/>
    <n v="116418.8069"/>
    <n v="41771.654999999999"/>
    <n v="0"/>
    <n v="0"/>
    <n v="1126.5"/>
    <n v="0"/>
    <n v="42898.154999999999"/>
    <n v="0.35457398624259889"/>
    <m/>
    <m/>
    <n v="2082"/>
    <m/>
    <n v="211258"/>
    <m/>
    <m/>
    <m/>
    <n v="211258"/>
    <m/>
    <m/>
    <m/>
    <n v="198348"/>
    <n v="198348"/>
    <m/>
    <n v="4307"/>
    <m/>
    <m/>
    <m/>
    <n v="4307"/>
    <m/>
    <m/>
    <n v="14741.5"/>
    <n v="13990.5"/>
    <m/>
    <m/>
    <m/>
    <m/>
    <n v="14741.5"/>
    <n v="3.42268400278616"/>
    <n v="0.57268865557754023"/>
    <n v="49.049918736939802"/>
  </r>
  <r>
    <n v="19"/>
    <s v="方小丹"/>
    <x v="18"/>
    <n v="0"/>
    <n v="0"/>
    <n v="0"/>
    <n v="0"/>
    <n v="66939"/>
    <n v="3368.2"/>
    <n v="32865.9"/>
    <n v="2271.4749999999999"/>
    <m/>
    <n v="1069.55"/>
    <n v="29009.5"/>
    <m/>
    <m/>
    <m/>
    <m/>
    <m/>
    <m/>
    <m/>
    <m/>
    <m/>
    <m/>
    <m/>
    <n v="0"/>
    <n v="10.88"/>
    <n v="129894.83"/>
    <n v="124081.098"/>
    <n v="46664.254999999997"/>
    <n v="0"/>
    <n v="0"/>
    <n v="-3476.25"/>
    <n v="0"/>
    <n v="43188.004999999997"/>
    <n v="0.33248440295891679"/>
    <m/>
    <m/>
    <n v="1069.55"/>
    <n v="0"/>
    <n v="186151"/>
    <m/>
    <m/>
    <m/>
    <n v="186151"/>
    <n v="0"/>
    <m/>
    <m/>
    <n v="533912"/>
    <n v="533912"/>
    <n v="0"/>
    <n v="4463.5"/>
    <m/>
    <m/>
    <m/>
    <n v="4463.5"/>
    <m/>
    <m/>
    <n v="12225.5"/>
    <n v="14543"/>
    <m/>
    <m/>
    <n v="0"/>
    <n v="0"/>
    <n v="12225.5"/>
    <n v="2.7389940629550802"/>
    <n v="0.69779281336119603"/>
    <n v="41.705164108883103"/>
  </r>
  <r>
    <n v="20"/>
    <s v="方小丹"/>
    <x v="19"/>
    <n v="524"/>
    <n v="2365.3000000000002"/>
    <n v="618.85"/>
    <n v="3508.15"/>
    <n v="1119.45"/>
    <n v="55.98"/>
    <n v="863.05"/>
    <n v="69.805000000000007"/>
    <n v="1966.05"/>
    <m/>
    <m/>
    <n v="1732.4749999999999"/>
    <n v="151.5"/>
    <n v="10.625"/>
    <m/>
    <m/>
    <m/>
    <m/>
    <m/>
    <m/>
    <m/>
    <m/>
    <n v="0"/>
    <m/>
    <n v="9340.6750000000011"/>
    <n v="9174.5637999999999"/>
    <n v="-17658.25"/>
    <n v="0"/>
    <n v="0"/>
    <n v="0"/>
    <n v="0"/>
    <n v="-17658.25"/>
    <n v="-1.89046830127373"/>
    <m/>
    <m/>
    <n v="675.5"/>
    <n v="11534.5"/>
    <m/>
    <n v="2.5"/>
    <m/>
    <m/>
    <n v="11537"/>
    <n v="7111"/>
    <m/>
    <m/>
    <m/>
    <n v="7111"/>
    <n v="313"/>
    <m/>
    <n v="0.5"/>
    <m/>
    <m/>
    <n v="313.5"/>
    <m/>
    <m/>
    <n v="0"/>
    <n v="0"/>
    <m/>
    <m/>
    <n v="0"/>
    <n v="0"/>
    <n v="0"/>
    <n v="0"/>
    <n v="0.80962771951113821"/>
    <n v="36.800637958532697"/>
  </r>
  <r>
    <n v="21"/>
    <s v="方小丹"/>
    <x v="20"/>
    <m/>
    <m/>
    <m/>
    <m/>
    <n v="3601.6"/>
    <n v="180.85499999999999"/>
    <n v="2557.5"/>
    <n v="182.71"/>
    <m/>
    <n v="754"/>
    <n v="6583.2"/>
    <m/>
    <m/>
    <m/>
    <m/>
    <m/>
    <m/>
    <m/>
    <m/>
    <m/>
    <m/>
    <m/>
    <m/>
    <m/>
    <n v="13496.3"/>
    <n v="13093.2358"/>
    <n v="50"/>
    <n v="0"/>
    <n v="0"/>
    <n v="0"/>
    <n v="0"/>
    <n v="50"/>
    <n v="3.7047190711528345E-3"/>
    <m/>
    <m/>
    <n v="754"/>
    <m/>
    <n v="0"/>
    <m/>
    <m/>
    <m/>
    <n v="0"/>
    <m/>
    <m/>
    <m/>
    <n v="134897.5"/>
    <n v="134897.5"/>
    <m/>
    <n v="0"/>
    <m/>
    <m/>
    <m/>
    <n v="0"/>
    <m/>
    <m/>
    <m/>
    <m/>
    <m/>
    <m/>
    <m/>
    <m/>
    <n v="0"/>
    <m/>
    <n v="0"/>
    <m/>
  </r>
  <r>
    <n v="22"/>
    <s v="王青"/>
    <x v="21"/>
    <n v="5147.3500000000004"/>
    <n v="24437.35"/>
    <n v="21668.3"/>
    <n v="51253"/>
    <n v="9923.25"/>
    <n v="501.08"/>
    <n v="8020.45"/>
    <n v="401.8"/>
    <m/>
    <m/>
    <m/>
    <m/>
    <m/>
    <m/>
    <m/>
    <m/>
    <m/>
    <m/>
    <m/>
    <m/>
    <m/>
    <m/>
    <n v="0"/>
    <m/>
    <n v="69196.7"/>
    <n v="68017.186100000006"/>
    <m/>
    <n v="0"/>
    <n v="0"/>
    <n v="-113.25"/>
    <n v="0"/>
    <n v="-113.25"/>
    <n v="-1.6366387414428723E-3"/>
    <m/>
    <m/>
    <n v="5147.3500000000004"/>
    <n v="76076.5"/>
    <m/>
    <m/>
    <m/>
    <m/>
    <n v="76076.5"/>
    <n v="73204.5"/>
    <m/>
    <m/>
    <m/>
    <n v="73204.5"/>
    <n v="2147.5"/>
    <m/>
    <m/>
    <m/>
    <m/>
    <n v="2147.5"/>
    <m/>
    <m/>
    <n v="1461"/>
    <n v="1536.5"/>
    <m/>
    <m/>
    <n v="0"/>
    <n v="0"/>
    <n v="1461"/>
    <n v="0.68032596041909199"/>
    <n v="0.90956734339776402"/>
    <n v="35.425611175785797"/>
  </r>
  <r>
    <n v="23"/>
    <s v="王青"/>
    <x v="22"/>
    <m/>
    <m/>
    <m/>
    <m/>
    <m/>
    <m/>
    <m/>
    <m/>
    <m/>
    <m/>
    <m/>
    <m/>
    <m/>
    <m/>
    <m/>
    <m/>
    <n v="146998.79999999999"/>
    <n v="314654.8"/>
    <m/>
    <m/>
    <m/>
    <m/>
    <m/>
    <m/>
    <n v="461653.6"/>
    <n v="461653.6"/>
    <n v="190487.375"/>
    <n v="0"/>
    <n v="34425.5"/>
    <n v="0"/>
    <n v="0"/>
    <n v="224912.875"/>
    <n v="0.4871896915782743"/>
    <m/>
    <m/>
    <n v="314654.8"/>
    <m/>
    <m/>
    <m/>
    <m/>
    <n v="607582.5"/>
    <n v="607582.5"/>
    <m/>
    <m/>
    <n v="598338.5"/>
    <m/>
    <n v="598338.5"/>
    <m/>
    <m/>
    <m/>
    <m/>
    <n v="14943.5"/>
    <n v="14943.5"/>
    <n v="74443.5"/>
    <n v="40018"/>
    <m/>
    <m/>
    <m/>
    <m/>
    <m/>
    <m/>
    <n v="74443.5"/>
    <n v="4.9816642687456003"/>
    <n v="0.75982043590788073"/>
    <n v="40.658647572523101"/>
  </r>
  <r>
    <n v="24"/>
    <s v="王青"/>
    <x v="23"/>
    <m/>
    <m/>
    <m/>
    <m/>
    <m/>
    <m/>
    <m/>
    <m/>
    <m/>
    <n v="400"/>
    <n v="0"/>
    <m/>
    <m/>
    <m/>
    <m/>
    <m/>
    <m/>
    <m/>
    <n v="294.5"/>
    <n v="5.24"/>
    <m/>
    <m/>
    <m/>
    <n v="14945"/>
    <n v="15639.5"/>
    <n v="15634.26"/>
    <n v="-9001"/>
    <n v="0"/>
    <n v="0"/>
    <n v="0"/>
    <n v="0"/>
    <n v="-9001"/>
    <n v="-0.57552990824514849"/>
    <m/>
    <m/>
    <n v="400"/>
    <m/>
    <n v="199.5"/>
    <m/>
    <m/>
    <m/>
    <n v="199.5"/>
    <m/>
    <m/>
    <m/>
    <n v="0"/>
    <n v="0"/>
    <m/>
    <n v="3"/>
    <m/>
    <m/>
    <m/>
    <n v="3"/>
    <m/>
    <m/>
    <m/>
    <m/>
    <m/>
    <m/>
    <m/>
    <m/>
    <n v="0"/>
    <n v="0"/>
    <n v="78.393483709273184"/>
    <n v="66.5"/>
  </r>
  <r>
    <n v="25"/>
    <s v="梁志成"/>
    <x v="24"/>
    <m/>
    <m/>
    <m/>
    <m/>
    <m/>
    <m/>
    <m/>
    <m/>
    <m/>
    <m/>
    <m/>
    <m/>
    <m/>
    <m/>
    <n v="111837.5"/>
    <n v="70945"/>
    <m/>
    <m/>
    <m/>
    <m/>
    <m/>
    <m/>
    <m/>
    <m/>
    <n v="182782.5"/>
    <n v="182782.5"/>
    <n v="83532.714999999997"/>
    <n v="16811"/>
    <n v="0"/>
    <n v="0"/>
    <n v="0"/>
    <n v="100343.715"/>
    <n v="0.54897878626236096"/>
    <m/>
    <m/>
    <n v="70945"/>
    <m/>
    <m/>
    <m/>
    <m/>
    <m/>
    <n v="0"/>
    <m/>
    <n v="371008.5"/>
    <m/>
    <m/>
    <n v="371008.5"/>
    <m/>
    <m/>
    <m/>
    <n v="5049.5"/>
    <m/>
    <n v="5049.5"/>
    <m/>
    <m/>
    <m/>
    <m/>
    <n v="45565.32"/>
    <n v="28754.32"/>
    <m/>
    <m/>
    <n v="45565.32"/>
    <n v="9.0237290820873302"/>
    <n v="0"/>
    <n v="0"/>
  </r>
  <r>
    <n v="26"/>
    <s v="梁志成"/>
    <x v="25"/>
    <m/>
    <m/>
    <m/>
    <m/>
    <m/>
    <m/>
    <m/>
    <m/>
    <m/>
    <n v="3568"/>
    <n v="0"/>
    <m/>
    <m/>
    <m/>
    <n v="4885"/>
    <n v="7345"/>
    <m/>
    <m/>
    <n v="18309.5"/>
    <n v="263.64999999999998"/>
    <n v="3909.5"/>
    <m/>
    <m/>
    <m/>
    <n v="38017"/>
    <n v="37753.35"/>
    <n v="44957.440000000002"/>
    <n v="0"/>
    <n v="0"/>
    <n v="0"/>
    <n v="0"/>
    <n v="44957.440000000002"/>
    <n v="1.1825614856511562"/>
    <m/>
    <m/>
    <n v="10913"/>
    <m/>
    <n v="37247.5"/>
    <m/>
    <m/>
    <m/>
    <n v="37247.5"/>
    <m/>
    <n v="0"/>
    <m/>
    <n v="0"/>
    <n v="0"/>
    <m/>
    <n v="1435"/>
    <m/>
    <n v="0"/>
    <m/>
    <n v="1435"/>
    <m/>
    <m/>
    <m/>
    <m/>
    <n v="0"/>
    <n v="0"/>
    <m/>
    <m/>
    <n v="0"/>
    <n v="0"/>
    <n v="1.0206591046378952"/>
    <n v="25.956445993031299"/>
  </r>
  <r>
    <n v="27"/>
    <s v="吴兴涛"/>
    <x v="26"/>
    <m/>
    <m/>
    <m/>
    <m/>
    <m/>
    <m/>
    <m/>
    <m/>
    <m/>
    <m/>
    <m/>
    <m/>
    <m/>
    <m/>
    <m/>
    <m/>
    <n v="38650"/>
    <n v="332049.5"/>
    <m/>
    <m/>
    <m/>
    <m/>
    <m/>
    <m/>
    <n v="370699.5"/>
    <n v="370699.5"/>
    <n v="287886.92"/>
    <n v="0"/>
    <n v="58234.5"/>
    <n v="0"/>
    <n v="0"/>
    <n v="346121.42"/>
    <n v="0.93369810318060853"/>
    <m/>
    <m/>
    <n v="332049.5"/>
    <m/>
    <m/>
    <m/>
    <m/>
    <n v="544396"/>
    <n v="544396"/>
    <m/>
    <m/>
    <n v="454091"/>
    <m/>
    <n v="454091"/>
    <m/>
    <m/>
    <m/>
    <m/>
    <n v="13124"/>
    <n v="13124"/>
    <n v="140615.5"/>
    <n v="82381"/>
    <m/>
    <m/>
    <m/>
    <m/>
    <m/>
    <m/>
    <n v="140615.5"/>
    <n v="10.714378238341901"/>
    <n v="0.68093722216915631"/>
    <n v="41.480950929594599"/>
  </r>
  <r>
    <n v="28"/>
    <s v="文龙"/>
    <x v="27"/>
    <m/>
    <m/>
    <m/>
    <m/>
    <m/>
    <m/>
    <m/>
    <m/>
    <m/>
    <m/>
    <m/>
    <m/>
    <m/>
    <m/>
    <m/>
    <m/>
    <n v="125841.5"/>
    <n v="63241"/>
    <m/>
    <m/>
    <m/>
    <m/>
    <m/>
    <m/>
    <n v="189082.5"/>
    <n v="189082.5"/>
    <n v="117431.43"/>
    <n v="0"/>
    <n v="-49642"/>
    <n v="0"/>
    <n v="0"/>
    <n v="67789.429999999993"/>
    <n v="0.35851773696666794"/>
    <m/>
    <m/>
    <n v="63241"/>
    <m/>
    <m/>
    <m/>
    <m/>
    <n v="275411.5"/>
    <n v="275411.5"/>
    <m/>
    <m/>
    <n v="260465"/>
    <m/>
    <n v="260465"/>
    <m/>
    <m/>
    <m/>
    <m/>
    <n v="5083"/>
    <n v="5083"/>
    <n v="60113"/>
    <n v="109755"/>
    <m/>
    <m/>
    <m/>
    <m/>
    <m/>
    <m/>
    <n v="60113"/>
    <n v="11.826283690733799"/>
    <n v="0.68654540569293587"/>
    <n v="54.182864450127802"/>
  </r>
  <r>
    <n v="29"/>
    <s v="徐丹"/>
    <x v="28"/>
    <m/>
    <m/>
    <m/>
    <m/>
    <m/>
    <m/>
    <m/>
    <m/>
    <m/>
    <m/>
    <m/>
    <m/>
    <m/>
    <m/>
    <n v="38859"/>
    <n v="29746.5"/>
    <m/>
    <m/>
    <m/>
    <m/>
    <m/>
    <m/>
    <m/>
    <m/>
    <n v="68605.5"/>
    <n v="68605.5"/>
    <n v="9377.75"/>
    <n v="1537.5"/>
    <n v="0"/>
    <n v="0"/>
    <n v="0"/>
    <n v="10915.25"/>
    <n v="0.15910167552164184"/>
    <m/>
    <m/>
    <n v="29746.5"/>
    <m/>
    <m/>
    <m/>
    <m/>
    <m/>
    <n v="0"/>
    <m/>
    <n v="79453"/>
    <m/>
    <m/>
    <n v="79453"/>
    <m/>
    <m/>
    <m/>
    <n v="1692.5"/>
    <m/>
    <n v="1692.5"/>
    <m/>
    <m/>
    <m/>
    <m/>
    <n v="13304.5"/>
    <n v="11767"/>
    <m/>
    <m/>
    <n v="13304.5"/>
    <n v="7.8608567208271696"/>
    <n v="0"/>
    <n v="0"/>
  </r>
  <r>
    <n v="30"/>
    <s v="徐丹"/>
    <x v="29"/>
    <m/>
    <m/>
    <m/>
    <m/>
    <m/>
    <m/>
    <m/>
    <m/>
    <m/>
    <m/>
    <m/>
    <m/>
    <m/>
    <m/>
    <m/>
    <m/>
    <n v="100899.45"/>
    <n v="67393.5"/>
    <m/>
    <m/>
    <s v="106"/>
    <m/>
    <m/>
    <m/>
    <n v="168292.95"/>
    <n v="168292.95"/>
    <n v="142508.01999999999"/>
    <n v="0"/>
    <n v="-23491.5"/>
    <n v="0"/>
    <n v="0"/>
    <n v="119016.519999999"/>
    <n v="0.7071984893009422"/>
    <m/>
    <m/>
    <n v="67393.5"/>
    <m/>
    <m/>
    <m/>
    <m/>
    <n v="274303"/>
    <n v="274303"/>
    <m/>
    <m/>
    <n v="199626.5"/>
    <m/>
    <n v="199626.5"/>
    <m/>
    <m/>
    <m/>
    <m/>
    <n v="9402"/>
    <n v="9402"/>
    <n v="112229.5"/>
    <n v="135721"/>
    <m/>
    <m/>
    <m/>
    <m/>
    <m/>
    <m/>
    <n v="112229.5"/>
    <n v="11.9367687726015"/>
    <n v="0.61352938174208815"/>
    <n v="29.174962773877802"/>
  </r>
  <r>
    <n v="31"/>
    <s v="徐丹"/>
    <x v="30"/>
    <m/>
    <m/>
    <m/>
    <m/>
    <m/>
    <m/>
    <m/>
    <m/>
    <m/>
    <m/>
    <m/>
    <m/>
    <m/>
    <m/>
    <m/>
    <m/>
    <n v="3268.5"/>
    <n v="8432"/>
    <m/>
    <m/>
    <m/>
    <m/>
    <m/>
    <m/>
    <n v="11700.5"/>
    <n v="11700.5"/>
    <n v="17228.275000000001"/>
    <n v="0"/>
    <n v="-10868"/>
    <n v="0"/>
    <n v="0"/>
    <n v="6360.2749999999996"/>
    <n v="0.54359001752061875"/>
    <m/>
    <m/>
    <n v="8432"/>
    <m/>
    <m/>
    <m/>
    <m/>
    <n v="14412"/>
    <n v="14412"/>
    <m/>
    <m/>
    <n v="10715"/>
    <m/>
    <n v="10715"/>
    <m/>
    <m/>
    <m/>
    <m/>
    <n v="180.5"/>
    <n v="180.5"/>
    <n v="1335.5"/>
    <n v="12203.5"/>
    <m/>
    <m/>
    <m/>
    <m/>
    <m/>
    <m/>
    <n v="1335.5"/>
    <n v="7.3988919667589998"/>
    <n v="0.81185817374410219"/>
    <n v="79.844875346260395"/>
  </r>
  <r>
    <n v="32"/>
    <s v="徐丹"/>
    <x v="31"/>
    <m/>
    <m/>
    <m/>
    <m/>
    <n v="31215.45"/>
    <n v="1587.6849999999999"/>
    <n v="19749.349999999999"/>
    <n v="1358.915"/>
    <m/>
    <n v="1964.7"/>
    <n v="40365.800000000003"/>
    <m/>
    <m/>
    <m/>
    <m/>
    <m/>
    <m/>
    <m/>
    <m/>
    <m/>
    <m/>
    <m/>
    <m/>
    <m/>
    <n v="93295.3"/>
    <n v="90106.5052"/>
    <n v="11255.5"/>
    <n v="0"/>
    <n v="0"/>
    <n v="11943"/>
    <n v="0"/>
    <n v="23198.5"/>
    <n v="0.24865668474188946"/>
    <m/>
    <m/>
    <n v="1964.7"/>
    <m/>
    <n v="117942.5"/>
    <m/>
    <m/>
    <m/>
    <n v="117942.5"/>
    <m/>
    <m/>
    <m/>
    <n v="113000.5"/>
    <n v="113000.5"/>
    <m/>
    <n v="2603"/>
    <m/>
    <m/>
    <m/>
    <n v="2603"/>
    <m/>
    <m/>
    <n v="10943"/>
    <n v="2981"/>
    <m/>
    <m/>
    <m/>
    <m/>
    <n v="10943"/>
    <n v="4.2039953899346898"/>
    <n v="0.7910235920045785"/>
    <n v="45.31021897810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65170-EB0D-4139-9F82-25BE25867896}" name="数据透视表8" cacheId="44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>
  <location ref="A71:B104" firstHeaderRow="1" firstDataRow="1" firstDataCol="1"/>
  <pivotFields count="68">
    <pivotField showAll="0"/>
    <pivotField showAll="0"/>
    <pivotField axis="axisRow" showAll="0">
      <items count="33">
        <item x="31"/>
        <item x="20"/>
        <item x="5"/>
        <item x="18"/>
        <item x="19"/>
        <item x="4"/>
        <item x="1"/>
        <item x="2"/>
        <item x="3"/>
        <item x="8"/>
        <item x="17"/>
        <item x="9"/>
        <item x="10"/>
        <item x="6"/>
        <item x="11"/>
        <item x="7"/>
        <item x="21"/>
        <item x="13"/>
        <item x="12"/>
        <item x="16"/>
        <item x="15"/>
        <item x="0"/>
        <item x="14"/>
        <item x="26"/>
        <item x="24"/>
        <item x="30"/>
        <item x="22"/>
        <item x="25"/>
        <item x="23"/>
        <item x="29"/>
        <item x="28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" showAll="0"/>
    <pivotField numFmtId="4" showAll="0"/>
    <pivotField showAll="0"/>
    <pivotField numFmtId="4" showAll="0"/>
    <pivotField numFmtId="4" showAll="0"/>
    <pivotField numFmtId="4" showAll="0"/>
    <pivotField numFmtId="4" showAll="0"/>
    <pivotField numFmtId="4" showAll="0"/>
    <pivotField numFmtId="10" showAll="0"/>
    <pivotField showAll="0"/>
    <pivotField showAll="0"/>
    <pivotField numFmtId="4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numFmtId="3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numFmtId="4" showAll="0"/>
    <pivotField showAll="0"/>
  </pivotFields>
  <rowFields count="1">
    <field x="2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求和项:收入汇总" fld="27" baseField="0" baseItem="0" numFmtId="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P141"/>
  <sheetViews>
    <sheetView tabSelected="1" zoomScale="85" zoomScaleNormal="85" workbookViewId="0">
      <selection activeCell="B95" sqref="B95"/>
    </sheetView>
  </sheetViews>
  <sheetFormatPr defaultColWidth="10" defaultRowHeight="22.5"/>
  <cols>
    <col min="1" max="1" width="28.53515625" style="17" bestFit="1" customWidth="1"/>
    <col min="2" max="2" width="14.921875" style="18" bestFit="1" customWidth="1"/>
    <col min="3" max="3" width="54.921875" style="18"/>
    <col min="4" max="4" width="12.921875"/>
    <col min="5" max="5" width="14.23046875"/>
    <col min="6" max="6" width="14.53515625"/>
    <col min="7" max="7" width="28.765625" bestFit="1" customWidth="1"/>
    <col min="8" max="8" width="14.23046875" bestFit="1" customWidth="1"/>
    <col min="9" max="9" width="27.15234375" bestFit="1" customWidth="1"/>
    <col min="10" max="12" width="14.23046875"/>
    <col min="13" max="13" width="14.53515625"/>
    <col min="14" max="14" width="17.15234375"/>
    <col min="15" max="15" width="14.53515625"/>
    <col min="16" max="16" width="11.84375"/>
    <col min="17" max="17" width="14.23046875"/>
    <col min="18" max="18" width="21.61328125"/>
    <col min="19" max="19" width="19" style="6"/>
    <col min="20" max="20" width="16.84375" style="6"/>
    <col min="21" max="21" width="16.84375"/>
    <col min="22" max="26" width="16.84375" style="6"/>
    <col min="27" max="27" width="14.4609375" style="6" customWidth="1"/>
    <col min="28" max="28" width="20.765625" style="6" customWidth="1"/>
    <col min="29" max="29" width="16.84375" style="6"/>
    <col min="30" max="30" width="18.23046875" style="6"/>
    <col min="31" max="31" width="24.3046875" style="6"/>
    <col min="32" max="32" width="16.84375" style="6"/>
    <col min="33" max="33" width="19.4609375" style="6"/>
    <col min="34" max="34" width="16.84375" style="6"/>
    <col min="35" max="35" width="21.3046875" customWidth="1"/>
    <col min="36" max="36" width="19.4609375" style="19" customWidth="1"/>
    <col min="37" max="37" width="18.84375" style="6"/>
    <col min="38" max="38" width="16.84375" style="19"/>
    <col min="39" max="39" width="16.3828125" style="6"/>
    <col min="40" max="40" width="12.765625"/>
    <col min="41" max="42" width="14.23046875"/>
    <col min="43" max="43" width="19"/>
    <col min="44" max="45" width="14"/>
    <col min="46" max="46" width="12.765625"/>
    <col min="47" max="47" width="19"/>
    <col min="48" max="48" width="14"/>
    <col min="49" max="50" width="14.23046875"/>
    <col min="51" max="51" width="11.61328125"/>
    <col min="52" max="53" width="14.23046875"/>
    <col min="54" max="54" width="19"/>
    <col min="55" max="56" width="11.61328125"/>
    <col min="57" max="58" width="16.84375"/>
    <col min="59" max="60" width="19.4609375"/>
    <col min="61" max="61" width="24.3046875" style="12"/>
    <col min="62" max="62" width="24.3046875" style="6"/>
    <col min="63" max="64" width="16.84375" style="6"/>
    <col min="65" max="65" width="16.3828125" style="6"/>
    <col min="66" max="66" width="32.61328125" style="6"/>
    <col min="67" max="67" width="27.3828125" style="6"/>
    <col min="68" max="68" width="30"/>
  </cols>
  <sheetData>
    <row r="1" spans="1:68" s="1" customFormat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7" t="s">
        <v>19</v>
      </c>
      <c r="U1" s="4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4" t="s">
        <v>34</v>
      </c>
      <c r="AJ1" s="4" t="s">
        <v>137</v>
      </c>
      <c r="AK1" s="7" t="s">
        <v>36</v>
      </c>
      <c r="AL1" s="10" t="s">
        <v>37</v>
      </c>
      <c r="AM1" s="7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14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</row>
    <row r="2" spans="1:68" ht="22.5" customHeight="1">
      <c r="A2" s="4">
        <v>1</v>
      </c>
      <c r="B2" s="5" t="s">
        <v>68</v>
      </c>
      <c r="C2" s="5" t="s">
        <v>69</v>
      </c>
      <c r="D2" s="6"/>
      <c r="E2" s="6"/>
      <c r="F2" s="6"/>
      <c r="G2" s="6"/>
      <c r="H2" s="6">
        <v>32618.9</v>
      </c>
      <c r="I2" s="6">
        <v>1670.37</v>
      </c>
      <c r="J2" s="6">
        <v>48559</v>
      </c>
      <c r="K2" s="6">
        <v>2455.52</v>
      </c>
      <c r="L2" s="6"/>
      <c r="M2" s="6">
        <v>5344.8</v>
      </c>
      <c r="N2" s="6">
        <v>146906.82500000001</v>
      </c>
      <c r="O2" s="6"/>
      <c r="P2" s="6"/>
      <c r="Q2" s="6"/>
      <c r="R2" s="6"/>
      <c r="T2" s="8"/>
      <c r="U2" s="8"/>
      <c r="V2" s="8"/>
      <c r="W2" s="8"/>
      <c r="X2" s="8"/>
      <c r="Y2" s="8"/>
      <c r="Z2" s="8"/>
      <c r="AA2" s="8"/>
      <c r="AB2" s="9">
        <f t="shared" ref="AB2:AB30" si="0">G2+H2+J2+L2+M2+N2+O2+P2+R2+S2+T2+U2+V2+X2+Z2+AA2</f>
        <v>233429.52500000002</v>
      </c>
      <c r="AC2" s="9">
        <v>228422.19404999999</v>
      </c>
      <c r="AD2" s="6">
        <v>79099.065000000002</v>
      </c>
      <c r="AE2" s="8">
        <v>0</v>
      </c>
      <c r="AF2" s="8">
        <v>0</v>
      </c>
      <c r="AG2" s="8">
        <v>-73754.25</v>
      </c>
      <c r="AH2" s="8">
        <v>0</v>
      </c>
      <c r="AI2" s="9">
        <v>5344.8149999999996</v>
      </c>
      <c r="AJ2" s="11">
        <f>(IFERROR(AI2/AB2,0))</f>
        <v>2.289691074854391E-2</v>
      </c>
      <c r="AK2" s="9"/>
      <c r="AL2" s="11"/>
      <c r="AM2" s="6">
        <f t="shared" ref="AM2:AM49" si="1">D2+M2+P2+S2+U2</f>
        <v>5344.8</v>
      </c>
      <c r="AN2" s="12"/>
      <c r="AO2" s="12">
        <v>426866.5</v>
      </c>
      <c r="AP2" s="12"/>
      <c r="AQ2" s="12"/>
      <c r="AR2" s="12"/>
      <c r="AS2" s="13">
        <v>426866.5</v>
      </c>
      <c r="AT2" s="12"/>
      <c r="AU2" s="12"/>
      <c r="AV2" s="12"/>
      <c r="AW2" s="12">
        <v>510203.5</v>
      </c>
      <c r="AX2" s="13">
        <v>510203.5</v>
      </c>
      <c r="AY2" s="12"/>
      <c r="AZ2" s="12">
        <v>4691</v>
      </c>
      <c r="BA2" s="12"/>
      <c r="BB2" s="12"/>
      <c r="BC2" s="12"/>
      <c r="BD2" s="13">
        <v>4691</v>
      </c>
      <c r="BE2" s="12"/>
      <c r="BF2" s="12"/>
      <c r="BG2" s="12">
        <v>44235.5</v>
      </c>
      <c r="BH2" s="12">
        <v>93405</v>
      </c>
      <c r="BJ2" s="12"/>
      <c r="BK2" s="12"/>
      <c r="BL2" s="12"/>
      <c r="BM2" s="13">
        <v>44235.5</v>
      </c>
      <c r="BN2" s="9">
        <v>9.4298657002771193</v>
      </c>
      <c r="BO2" s="9">
        <f t="shared" ref="BO2:BO49" si="2">IFERROR(AB2/AS2,0)</f>
        <v>0.54684432955033957</v>
      </c>
      <c r="BP2" s="9">
        <v>90.996908974632206</v>
      </c>
    </row>
    <row r="3" spans="1:68" ht="22.5" customHeight="1">
      <c r="A3" s="4">
        <v>2</v>
      </c>
      <c r="B3" s="5" t="s">
        <v>70</v>
      </c>
      <c r="C3" s="5" t="s">
        <v>71</v>
      </c>
      <c r="D3" s="6">
        <v>7351.1</v>
      </c>
      <c r="E3" s="6">
        <v>22088.75</v>
      </c>
      <c r="F3" s="6">
        <v>3159.65</v>
      </c>
      <c r="G3" s="6">
        <v>32599.5</v>
      </c>
      <c r="H3" s="6">
        <v>66864.600000000006</v>
      </c>
      <c r="I3" s="6">
        <v>3347.3449999999998</v>
      </c>
      <c r="J3" s="6">
        <v>21847.599999999999</v>
      </c>
      <c r="K3" s="6">
        <v>1094.3499999999999</v>
      </c>
      <c r="L3" s="6">
        <v>3558.95</v>
      </c>
      <c r="M3" s="6"/>
      <c r="N3" s="6"/>
      <c r="O3" s="6"/>
      <c r="P3" s="6"/>
      <c r="Q3" s="6"/>
      <c r="R3" s="6"/>
      <c r="T3" s="8"/>
      <c r="U3" s="8"/>
      <c r="V3" s="8"/>
      <c r="W3" s="8"/>
      <c r="X3" s="8"/>
      <c r="Y3" s="8"/>
      <c r="Z3" s="8">
        <v>0</v>
      </c>
      <c r="AA3" s="8"/>
      <c r="AB3" s="9">
        <f t="shared" si="0"/>
        <v>124870.65000000001</v>
      </c>
      <c r="AC3" s="9">
        <v>120256.1109</v>
      </c>
      <c r="AD3" s="6">
        <v>-10299.195</v>
      </c>
      <c r="AE3" s="8">
        <v>0</v>
      </c>
      <c r="AF3" s="8">
        <v>0</v>
      </c>
      <c r="AG3" s="8">
        <v>-1413.75</v>
      </c>
      <c r="AH3" s="8">
        <v>0</v>
      </c>
      <c r="AI3" s="9">
        <v>-11712.945</v>
      </c>
      <c r="AJ3" s="11">
        <f t="shared" ref="AJ3:AJ49" si="3">(IFERROR(AI3/AB3,0))</f>
        <v>-9.3800624886632683E-2</v>
      </c>
      <c r="AK3" s="9"/>
      <c r="AL3" s="11"/>
      <c r="AM3" s="6">
        <f t="shared" si="1"/>
        <v>7351.1</v>
      </c>
      <c r="AN3" s="12">
        <v>42703.5</v>
      </c>
      <c r="AO3" s="12"/>
      <c r="AP3" s="12">
        <v>161281</v>
      </c>
      <c r="AQ3" s="12"/>
      <c r="AR3" s="12"/>
      <c r="AS3" s="13">
        <v>203984.5</v>
      </c>
      <c r="AT3" s="12">
        <v>169926</v>
      </c>
      <c r="AU3" s="12"/>
      <c r="AV3" s="12"/>
      <c r="AW3" s="12"/>
      <c r="AX3" s="13">
        <v>169926</v>
      </c>
      <c r="AY3" s="12">
        <v>103.5</v>
      </c>
      <c r="AZ3" s="12"/>
      <c r="BA3" s="12">
        <v>3557</v>
      </c>
      <c r="BB3" s="12"/>
      <c r="BC3" s="12"/>
      <c r="BD3" s="13">
        <v>3660.5</v>
      </c>
      <c r="BE3" s="12"/>
      <c r="BF3" s="12"/>
      <c r="BG3" s="12">
        <v>4868.5</v>
      </c>
      <c r="BH3" s="12">
        <v>5811</v>
      </c>
      <c r="BJ3" s="12"/>
      <c r="BK3" s="12">
        <v>0</v>
      </c>
      <c r="BL3" s="12">
        <v>0</v>
      </c>
      <c r="BM3" s="13">
        <v>4868.5</v>
      </c>
      <c r="BN3" s="9">
        <v>1.3300095615353</v>
      </c>
      <c r="BO3" s="9">
        <f t="shared" si="2"/>
        <v>0.61215754138182077</v>
      </c>
      <c r="BP3" s="9">
        <v>55.7258571233438</v>
      </c>
    </row>
    <row r="4" spans="1:68" ht="22.5" customHeight="1">
      <c r="A4" s="4">
        <v>3</v>
      </c>
      <c r="B4" s="5" t="s">
        <v>70</v>
      </c>
      <c r="C4" s="5" t="s">
        <v>72</v>
      </c>
      <c r="D4" s="6">
        <v>90</v>
      </c>
      <c r="E4" s="6">
        <v>1459.85</v>
      </c>
      <c r="F4" s="6">
        <v>260</v>
      </c>
      <c r="G4" s="6">
        <v>1809.85</v>
      </c>
      <c r="H4" s="6">
        <v>855.45</v>
      </c>
      <c r="I4" s="6">
        <v>42.75</v>
      </c>
      <c r="J4" s="6">
        <v>402</v>
      </c>
      <c r="K4" s="6">
        <v>20.149999999999999</v>
      </c>
      <c r="L4" s="6"/>
      <c r="M4" s="6"/>
      <c r="N4" s="6"/>
      <c r="O4" s="6"/>
      <c r="P4" s="6"/>
      <c r="Q4" s="6"/>
      <c r="R4" s="6"/>
      <c r="T4" s="8"/>
      <c r="U4" s="8"/>
      <c r="V4" s="8"/>
      <c r="W4" s="8"/>
      <c r="X4" s="8"/>
      <c r="Y4" s="8"/>
      <c r="Z4" s="8">
        <v>0</v>
      </c>
      <c r="AA4" s="8"/>
      <c r="AB4" s="9">
        <f t="shared" si="0"/>
        <v>3067.3</v>
      </c>
      <c r="AC4" s="9">
        <v>2994.0808999999999</v>
      </c>
      <c r="AE4" s="8">
        <v>0</v>
      </c>
      <c r="AF4" s="8">
        <v>0</v>
      </c>
      <c r="AG4" s="8">
        <v>0</v>
      </c>
      <c r="AH4" s="8">
        <v>0</v>
      </c>
      <c r="AI4" s="9">
        <v>0</v>
      </c>
      <c r="AJ4" s="11">
        <f t="shared" si="3"/>
        <v>0</v>
      </c>
      <c r="AK4" s="9"/>
      <c r="AL4" s="11"/>
      <c r="AM4" s="6">
        <f t="shared" si="1"/>
        <v>90</v>
      </c>
      <c r="AN4" s="12">
        <v>5412.5</v>
      </c>
      <c r="AO4" s="12"/>
      <c r="AP4" s="12"/>
      <c r="AQ4" s="12"/>
      <c r="AR4" s="12"/>
      <c r="AS4" s="13">
        <v>5412.5</v>
      </c>
      <c r="AT4" s="12">
        <v>3699.5</v>
      </c>
      <c r="AU4" s="12"/>
      <c r="AV4" s="12"/>
      <c r="AW4" s="12"/>
      <c r="AX4" s="13">
        <v>3699.5</v>
      </c>
      <c r="AY4" s="12">
        <v>87.5</v>
      </c>
      <c r="AZ4" s="12"/>
      <c r="BA4" s="12"/>
      <c r="BB4" s="12"/>
      <c r="BC4" s="12"/>
      <c r="BD4" s="13">
        <v>87.5</v>
      </c>
      <c r="BE4" s="12"/>
      <c r="BF4" s="12"/>
      <c r="BG4" s="12"/>
      <c r="BH4" s="12"/>
      <c r="BJ4" s="12"/>
      <c r="BK4" s="12">
        <v>0</v>
      </c>
      <c r="BL4" s="12">
        <v>0</v>
      </c>
      <c r="BM4" s="13">
        <v>0</v>
      </c>
      <c r="BN4" s="9">
        <v>0</v>
      </c>
      <c r="BO4" s="9">
        <f t="shared" si="2"/>
        <v>0.56670669745958435</v>
      </c>
      <c r="BP4" s="9">
        <v>61.857142857142797</v>
      </c>
    </row>
    <row r="5" spans="1:68" ht="22.5" customHeight="1">
      <c r="A5" s="4">
        <v>4</v>
      </c>
      <c r="B5" s="5" t="s">
        <v>70</v>
      </c>
      <c r="C5" s="5" t="s">
        <v>73</v>
      </c>
      <c r="D5" s="6"/>
      <c r="E5" s="6"/>
      <c r="F5" s="6"/>
      <c r="G5" s="6"/>
      <c r="H5" s="6">
        <v>46715.8</v>
      </c>
      <c r="I5" s="6">
        <v>2350.2350000000001</v>
      </c>
      <c r="J5" s="6">
        <v>19334.349999999999</v>
      </c>
      <c r="K5" s="6">
        <v>1466.94</v>
      </c>
      <c r="L5" s="6"/>
      <c r="M5" s="6">
        <v>581.35</v>
      </c>
      <c r="N5" s="6">
        <v>16288.4</v>
      </c>
      <c r="O5" s="6"/>
      <c r="P5" s="6"/>
      <c r="Q5" s="6"/>
      <c r="R5" s="6"/>
      <c r="T5" s="8"/>
      <c r="U5" s="8"/>
      <c r="V5" s="8"/>
      <c r="W5" s="8"/>
      <c r="X5" s="8"/>
      <c r="Y5" s="8"/>
      <c r="Z5" s="8"/>
      <c r="AA5" s="8"/>
      <c r="AB5" s="9">
        <f t="shared" si="0"/>
        <v>82919.899999999994</v>
      </c>
      <c r="AC5" s="9">
        <v>79004.994600000005</v>
      </c>
      <c r="AD5" s="6">
        <v>35286.1</v>
      </c>
      <c r="AE5" s="8">
        <v>0</v>
      </c>
      <c r="AF5" s="8">
        <v>0</v>
      </c>
      <c r="AG5" s="8">
        <v>3510</v>
      </c>
      <c r="AH5" s="8">
        <v>0</v>
      </c>
      <c r="AI5" s="9">
        <v>38796.1</v>
      </c>
      <c r="AJ5" s="11">
        <f t="shared" si="3"/>
        <v>0.46787441856538659</v>
      </c>
      <c r="AK5" s="9"/>
      <c r="AL5" s="11"/>
      <c r="AM5" s="6">
        <f t="shared" si="1"/>
        <v>581.35</v>
      </c>
      <c r="AN5" s="12"/>
      <c r="AO5" s="12">
        <v>113416</v>
      </c>
      <c r="AP5" s="12"/>
      <c r="AQ5" s="12"/>
      <c r="AR5" s="12"/>
      <c r="AS5" s="13">
        <v>113416</v>
      </c>
      <c r="AT5" s="12"/>
      <c r="AU5" s="12"/>
      <c r="AV5" s="12"/>
      <c r="AW5" s="12">
        <v>467904.5</v>
      </c>
      <c r="AX5" s="13">
        <v>467904.5</v>
      </c>
      <c r="AY5" s="12"/>
      <c r="AZ5" s="12">
        <v>2387</v>
      </c>
      <c r="BA5" s="12"/>
      <c r="BB5" s="12"/>
      <c r="BC5" s="12"/>
      <c r="BD5" s="13">
        <v>2387</v>
      </c>
      <c r="BE5" s="12"/>
      <c r="BF5" s="12"/>
      <c r="BG5" s="12">
        <v>5463</v>
      </c>
      <c r="BH5" s="12">
        <v>3123</v>
      </c>
      <c r="BJ5" s="12"/>
      <c r="BK5" s="12"/>
      <c r="BL5" s="12"/>
      <c r="BM5" s="13">
        <v>5463</v>
      </c>
      <c r="BN5" s="9">
        <v>2.2886468370339301</v>
      </c>
      <c r="BO5" s="9">
        <f t="shared" si="2"/>
        <v>0.73111289412428582</v>
      </c>
      <c r="BP5" s="9">
        <v>47.514034352743998</v>
      </c>
    </row>
    <row r="6" spans="1:68" ht="22.5" customHeight="1">
      <c r="A6" s="4">
        <v>5</v>
      </c>
      <c r="B6" s="5" t="s">
        <v>70</v>
      </c>
      <c r="C6" s="5" t="s">
        <v>74</v>
      </c>
      <c r="D6" s="6">
        <v>245</v>
      </c>
      <c r="E6" s="6">
        <v>4697.8500000000004</v>
      </c>
      <c r="F6" s="6">
        <v>524.9</v>
      </c>
      <c r="G6" s="6">
        <v>5467.75</v>
      </c>
      <c r="H6" s="6">
        <v>5075.55</v>
      </c>
      <c r="I6" s="6">
        <v>253.86</v>
      </c>
      <c r="J6" s="6">
        <v>1437.2</v>
      </c>
      <c r="K6" s="6">
        <v>72</v>
      </c>
      <c r="L6" s="6">
        <v>460.85</v>
      </c>
      <c r="M6" s="6"/>
      <c r="N6" s="6"/>
      <c r="O6" s="6"/>
      <c r="P6" s="6"/>
      <c r="Q6" s="6"/>
      <c r="R6" s="6"/>
      <c r="T6" s="8"/>
      <c r="U6" s="8"/>
      <c r="V6" s="8"/>
      <c r="W6" s="8"/>
      <c r="X6" s="8"/>
      <c r="Y6" s="8"/>
      <c r="Z6" s="8">
        <v>0</v>
      </c>
      <c r="AA6" s="8"/>
      <c r="AB6" s="9">
        <f t="shared" si="0"/>
        <v>12441.35</v>
      </c>
      <c r="AC6" s="9">
        <v>12081.3884</v>
      </c>
      <c r="AD6" s="6">
        <v>1052</v>
      </c>
      <c r="AE6" s="8">
        <v>0</v>
      </c>
      <c r="AF6" s="8">
        <v>0</v>
      </c>
      <c r="AG6" s="8">
        <v>0</v>
      </c>
      <c r="AH6" s="8">
        <v>0</v>
      </c>
      <c r="AI6" s="9">
        <v>1052</v>
      </c>
      <c r="AJ6" s="11">
        <f t="shared" si="3"/>
        <v>8.4556740225136331E-2</v>
      </c>
      <c r="AK6" s="9"/>
      <c r="AL6" s="11"/>
      <c r="AM6" s="6">
        <f t="shared" si="1"/>
        <v>245</v>
      </c>
      <c r="AN6" s="12">
        <v>17466</v>
      </c>
      <c r="AO6" s="12"/>
      <c r="AP6" s="12">
        <v>3759.5</v>
      </c>
      <c r="AQ6" s="12"/>
      <c r="AR6" s="12"/>
      <c r="AS6" s="13">
        <v>21225.5</v>
      </c>
      <c r="AT6" s="12">
        <v>18148.5</v>
      </c>
      <c r="AU6" s="12"/>
      <c r="AV6" s="12"/>
      <c r="AW6" s="12"/>
      <c r="AX6" s="13">
        <v>18148.5</v>
      </c>
      <c r="AY6" s="12">
        <v>141</v>
      </c>
      <c r="AZ6" s="12"/>
      <c r="BA6" s="12">
        <v>23</v>
      </c>
      <c r="BB6" s="12"/>
      <c r="BC6" s="12"/>
      <c r="BD6" s="13">
        <v>164</v>
      </c>
      <c r="BE6" s="12"/>
      <c r="BF6" s="12"/>
      <c r="BG6" s="12"/>
      <c r="BH6" s="12"/>
      <c r="BJ6" s="12"/>
      <c r="BK6" s="12">
        <v>0</v>
      </c>
      <c r="BL6" s="12">
        <v>0</v>
      </c>
      <c r="BM6" s="13">
        <v>0</v>
      </c>
      <c r="BN6" s="9">
        <v>0</v>
      </c>
      <c r="BO6" s="9">
        <f t="shared" si="2"/>
        <v>0.5861510918470707</v>
      </c>
      <c r="BP6" s="9">
        <v>129.42378048780401</v>
      </c>
    </row>
    <row r="7" spans="1:68" ht="22.5" customHeight="1">
      <c r="A7" s="4">
        <v>6</v>
      </c>
      <c r="B7" s="5" t="s">
        <v>70</v>
      </c>
      <c r="C7" s="5" t="s">
        <v>75</v>
      </c>
      <c r="D7" s="6">
        <v>53.5</v>
      </c>
      <c r="E7" s="6">
        <v>3050.35</v>
      </c>
      <c r="F7" s="6">
        <v>353.35</v>
      </c>
      <c r="G7" s="6">
        <v>3457.2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T7" s="8"/>
      <c r="U7" s="8"/>
      <c r="V7" s="8"/>
      <c r="W7" s="8"/>
      <c r="X7" s="8"/>
      <c r="Y7" s="8"/>
      <c r="Z7" s="8">
        <v>0</v>
      </c>
      <c r="AA7" s="8"/>
      <c r="AB7" s="9">
        <f t="shared" si="0"/>
        <v>3457.2</v>
      </c>
      <c r="AC7" s="9">
        <v>3436.7777999999998</v>
      </c>
      <c r="AD7" s="6">
        <v>40</v>
      </c>
      <c r="AE7" s="8">
        <v>0</v>
      </c>
      <c r="AF7" s="8">
        <v>0</v>
      </c>
      <c r="AG7" s="8">
        <v>2594.25</v>
      </c>
      <c r="AH7" s="8">
        <v>0</v>
      </c>
      <c r="AI7" s="9">
        <v>2634.25</v>
      </c>
      <c r="AJ7" s="11">
        <f t="shared" si="3"/>
        <v>0.76196054610667596</v>
      </c>
      <c r="AK7" s="9"/>
      <c r="AL7" s="11"/>
      <c r="AM7" s="6">
        <f t="shared" si="1"/>
        <v>53.5</v>
      </c>
      <c r="AN7" s="12">
        <v>0</v>
      </c>
      <c r="AO7" s="12"/>
      <c r="AP7" s="12"/>
      <c r="AQ7" s="12"/>
      <c r="AR7" s="12"/>
      <c r="AS7" s="13">
        <v>0</v>
      </c>
      <c r="AT7" s="12">
        <v>381044.5</v>
      </c>
      <c r="AU7" s="12"/>
      <c r="AV7" s="12"/>
      <c r="AW7" s="12"/>
      <c r="AX7" s="13">
        <v>381044.5</v>
      </c>
      <c r="AY7" s="12">
        <v>0</v>
      </c>
      <c r="AZ7" s="12"/>
      <c r="BA7" s="12"/>
      <c r="BB7" s="12"/>
      <c r="BC7" s="12"/>
      <c r="BD7" s="13">
        <v>0</v>
      </c>
      <c r="BE7" s="12"/>
      <c r="BF7" s="12"/>
      <c r="BG7" s="12">
        <v>2329</v>
      </c>
      <c r="BH7" s="12">
        <v>599.5</v>
      </c>
      <c r="BJ7" s="12"/>
      <c r="BK7" s="12">
        <v>0</v>
      </c>
      <c r="BL7" s="12">
        <v>0</v>
      </c>
      <c r="BM7" s="13">
        <v>2329</v>
      </c>
      <c r="BN7" s="9"/>
      <c r="BO7" s="9">
        <f t="shared" si="2"/>
        <v>0</v>
      </c>
      <c r="BP7" s="9"/>
    </row>
    <row r="8" spans="1:68" ht="22.5" customHeight="1">
      <c r="A8" s="4">
        <v>7</v>
      </c>
      <c r="B8" s="5" t="s">
        <v>76</v>
      </c>
      <c r="C8" s="5" t="s">
        <v>77</v>
      </c>
      <c r="D8" s="6">
        <v>2217.5</v>
      </c>
      <c r="E8" s="6">
        <v>28043.45</v>
      </c>
      <c r="F8" s="6">
        <v>5652.75</v>
      </c>
      <c r="G8" s="6">
        <v>35913.699999999997</v>
      </c>
      <c r="H8" s="6">
        <v>14.75</v>
      </c>
      <c r="I8" s="6">
        <v>0.74</v>
      </c>
      <c r="J8" s="6">
        <v>14355.55</v>
      </c>
      <c r="K8" s="6">
        <v>719.3</v>
      </c>
      <c r="L8" s="6"/>
      <c r="M8" s="6"/>
      <c r="N8" s="6"/>
      <c r="O8" s="6"/>
      <c r="P8" s="6"/>
      <c r="Q8" s="6"/>
      <c r="R8" s="6"/>
      <c r="T8" s="8"/>
      <c r="U8" s="8"/>
      <c r="V8" s="8"/>
      <c r="W8" s="8"/>
      <c r="X8" s="8"/>
      <c r="Y8" s="8"/>
      <c r="Z8" s="8">
        <v>-589.6</v>
      </c>
      <c r="AA8" s="8"/>
      <c r="AB8" s="9">
        <f t="shared" si="0"/>
        <v>49694.400000000001</v>
      </c>
      <c r="AC8" s="9">
        <v>48772.182800000002</v>
      </c>
      <c r="AD8" s="6">
        <v>12587.79</v>
      </c>
      <c r="AE8" s="8">
        <v>0</v>
      </c>
      <c r="AF8" s="8">
        <v>0</v>
      </c>
      <c r="AG8" s="8">
        <v>-756.75</v>
      </c>
      <c r="AH8" s="8">
        <v>0</v>
      </c>
      <c r="AI8" s="9">
        <v>11831.04</v>
      </c>
      <c r="AJ8" s="11">
        <f t="shared" si="3"/>
        <v>0.2380759200231817</v>
      </c>
      <c r="AK8" s="9"/>
      <c r="AL8" s="11"/>
      <c r="AM8" s="6">
        <f t="shared" si="1"/>
        <v>2217.5</v>
      </c>
      <c r="AN8" s="12">
        <v>99062</v>
      </c>
      <c r="AO8" s="12"/>
      <c r="AP8" s="12"/>
      <c r="AQ8" s="12"/>
      <c r="AR8" s="12"/>
      <c r="AS8" s="13">
        <v>99062</v>
      </c>
      <c r="AT8" s="12">
        <v>88889.5</v>
      </c>
      <c r="AU8" s="12"/>
      <c r="AV8" s="12"/>
      <c r="AW8" s="12"/>
      <c r="AX8" s="13">
        <v>88889.5</v>
      </c>
      <c r="AY8" s="12">
        <v>2640</v>
      </c>
      <c r="AZ8" s="12"/>
      <c r="BA8" s="12"/>
      <c r="BB8" s="12"/>
      <c r="BC8" s="12"/>
      <c r="BD8" s="13">
        <v>2640</v>
      </c>
      <c r="BE8" s="12"/>
      <c r="BF8" s="12"/>
      <c r="BG8" s="12">
        <v>2319.5</v>
      </c>
      <c r="BH8" s="12">
        <v>2824</v>
      </c>
      <c r="BJ8" s="12"/>
      <c r="BK8" s="12">
        <v>0</v>
      </c>
      <c r="BL8" s="12">
        <v>0</v>
      </c>
      <c r="BM8" s="13">
        <v>2319.5</v>
      </c>
      <c r="BN8" s="9">
        <v>0.87859848484848402</v>
      </c>
      <c r="BO8" s="9">
        <f t="shared" si="2"/>
        <v>0.50164947204780841</v>
      </c>
      <c r="BP8" s="9">
        <v>37.523484848484799</v>
      </c>
    </row>
    <row r="9" spans="1:68" ht="22.5" customHeight="1">
      <c r="A9" s="4">
        <v>8</v>
      </c>
      <c r="B9" s="5" t="s">
        <v>76</v>
      </c>
      <c r="C9" s="5" t="s">
        <v>78</v>
      </c>
      <c r="D9" s="6">
        <v>1626</v>
      </c>
      <c r="E9" s="6">
        <v>14033.8</v>
      </c>
      <c r="F9" s="6">
        <v>1835.5</v>
      </c>
      <c r="G9" s="6">
        <v>17495.3</v>
      </c>
      <c r="H9" s="6">
        <v>10002</v>
      </c>
      <c r="I9" s="6">
        <v>508.16500000000002</v>
      </c>
      <c r="J9" s="6">
        <v>6036.3</v>
      </c>
      <c r="K9" s="6">
        <v>302.44</v>
      </c>
      <c r="L9" s="6"/>
      <c r="M9" s="6"/>
      <c r="N9" s="6"/>
      <c r="O9" s="6"/>
      <c r="P9" s="6"/>
      <c r="Q9" s="6"/>
      <c r="R9" s="6"/>
      <c r="T9" s="8"/>
      <c r="U9" s="8"/>
      <c r="V9" s="8"/>
      <c r="W9" s="8"/>
      <c r="X9" s="8"/>
      <c r="Y9" s="8"/>
      <c r="Z9" s="8">
        <v>-67.924999999999997</v>
      </c>
      <c r="AA9" s="8"/>
      <c r="AB9" s="9">
        <f t="shared" si="0"/>
        <v>33465.674999999996</v>
      </c>
      <c r="AC9" s="9">
        <v>32559.854200000002</v>
      </c>
      <c r="AD9" s="6">
        <v>10588.75</v>
      </c>
      <c r="AE9" s="8">
        <v>0</v>
      </c>
      <c r="AF9" s="8">
        <v>0</v>
      </c>
      <c r="AG9" s="8">
        <v>480</v>
      </c>
      <c r="AH9" s="8">
        <v>0</v>
      </c>
      <c r="AI9" s="9">
        <v>11068.75</v>
      </c>
      <c r="AJ9" s="11">
        <f t="shared" si="3"/>
        <v>0.33074934242324416</v>
      </c>
      <c r="AK9" s="9"/>
      <c r="AL9" s="11"/>
      <c r="AM9" s="6">
        <f t="shared" si="1"/>
        <v>1626</v>
      </c>
      <c r="AN9" s="12">
        <v>62416.5</v>
      </c>
      <c r="AO9" s="12"/>
      <c r="AP9" s="12"/>
      <c r="AQ9" s="12"/>
      <c r="AR9" s="12"/>
      <c r="AS9" s="13">
        <v>62416.5</v>
      </c>
      <c r="AT9" s="12">
        <v>80520.5</v>
      </c>
      <c r="AU9" s="12"/>
      <c r="AV9" s="12"/>
      <c r="AW9" s="12"/>
      <c r="AX9" s="13">
        <v>80520.5</v>
      </c>
      <c r="AY9" s="12">
        <v>1845</v>
      </c>
      <c r="AZ9" s="12"/>
      <c r="BA9" s="12"/>
      <c r="BB9" s="12"/>
      <c r="BC9" s="12"/>
      <c r="BD9" s="13">
        <v>1845</v>
      </c>
      <c r="BE9" s="12"/>
      <c r="BF9" s="12"/>
      <c r="BG9" s="12">
        <v>1657.5</v>
      </c>
      <c r="BH9" s="12">
        <v>1337.5</v>
      </c>
      <c r="BJ9" s="12"/>
      <c r="BK9" s="12">
        <v>0</v>
      </c>
      <c r="BL9" s="12">
        <v>0</v>
      </c>
      <c r="BM9" s="13">
        <v>1657.5</v>
      </c>
      <c r="BN9" s="9">
        <v>0.89837398373983701</v>
      </c>
      <c r="BO9" s="9">
        <f t="shared" si="2"/>
        <v>0.53616711927134642</v>
      </c>
      <c r="BP9" s="9">
        <v>33.830081300812999</v>
      </c>
    </row>
    <row r="10" spans="1:68" ht="22.5" customHeight="1">
      <c r="A10" s="4">
        <v>9</v>
      </c>
      <c r="B10" s="5" t="s">
        <v>76</v>
      </c>
      <c r="C10" s="5" t="s">
        <v>79</v>
      </c>
      <c r="D10" s="6">
        <v>3546.3</v>
      </c>
      <c r="E10" s="6">
        <v>27647.3</v>
      </c>
      <c r="F10" s="6">
        <v>3075.95</v>
      </c>
      <c r="G10" s="6">
        <v>34269.550000000003</v>
      </c>
      <c r="H10" s="6">
        <v>14166.95</v>
      </c>
      <c r="I10" s="6">
        <v>710.22500000000002</v>
      </c>
      <c r="J10" s="6">
        <v>8825.4</v>
      </c>
      <c r="K10" s="6">
        <v>442.25</v>
      </c>
      <c r="L10" s="6"/>
      <c r="M10" s="6"/>
      <c r="N10" s="6"/>
      <c r="O10" s="6"/>
      <c r="P10" s="6"/>
      <c r="Q10" s="6"/>
      <c r="R10" s="6"/>
      <c r="T10" s="8"/>
      <c r="U10" s="8"/>
      <c r="V10" s="8"/>
      <c r="W10" s="8"/>
      <c r="X10" s="8"/>
      <c r="Y10" s="8"/>
      <c r="Z10" s="8">
        <v>720.5</v>
      </c>
      <c r="AA10" s="8"/>
      <c r="AB10" s="9">
        <f t="shared" si="0"/>
        <v>57982.400000000001</v>
      </c>
      <c r="AC10" s="9">
        <v>56645.585500000001</v>
      </c>
      <c r="AD10" s="6">
        <v>16649.55</v>
      </c>
      <c r="AE10" s="8">
        <v>0</v>
      </c>
      <c r="AF10" s="8">
        <v>0</v>
      </c>
      <c r="AG10" s="8">
        <v>0</v>
      </c>
      <c r="AH10" s="8">
        <v>2414.25</v>
      </c>
      <c r="AI10" s="9">
        <v>19063.8</v>
      </c>
      <c r="AJ10" s="11">
        <f t="shared" si="3"/>
        <v>0.3287859764342283</v>
      </c>
      <c r="AK10" s="9"/>
      <c r="AL10" s="11"/>
      <c r="AM10" s="6">
        <f t="shared" si="1"/>
        <v>3546.3</v>
      </c>
      <c r="AN10" s="12">
        <v>97847.5</v>
      </c>
      <c r="AO10" s="12"/>
      <c r="AP10" s="12"/>
      <c r="AQ10" s="12"/>
      <c r="AR10" s="12"/>
      <c r="AS10" s="13">
        <v>97847.5</v>
      </c>
      <c r="AT10" s="12">
        <v>99388</v>
      </c>
      <c r="AU10" s="12"/>
      <c r="AV10" s="12"/>
      <c r="AW10" s="12"/>
      <c r="AX10" s="13">
        <v>99388</v>
      </c>
      <c r="AY10" s="12">
        <v>2932</v>
      </c>
      <c r="AZ10" s="12"/>
      <c r="BA10" s="12"/>
      <c r="BB10" s="12"/>
      <c r="BC10" s="12"/>
      <c r="BD10" s="13">
        <v>2932</v>
      </c>
      <c r="BE10" s="12"/>
      <c r="BF10" s="12"/>
      <c r="BG10" s="12"/>
      <c r="BH10" s="12"/>
      <c r="BJ10" s="12"/>
      <c r="BK10" s="12">
        <v>6218.5</v>
      </c>
      <c r="BL10" s="12">
        <v>4609</v>
      </c>
      <c r="BM10" s="13">
        <v>6218.5</v>
      </c>
      <c r="BN10" s="9">
        <v>2.1209072305593399</v>
      </c>
      <c r="BO10" s="9">
        <f t="shared" si="2"/>
        <v>0.59257926876006028</v>
      </c>
      <c r="BP10" s="9">
        <v>33.372271487039498</v>
      </c>
    </row>
    <row r="11" spans="1:68" ht="22.5" customHeight="1">
      <c r="A11" s="4">
        <v>10</v>
      </c>
      <c r="B11" s="5" t="s">
        <v>76</v>
      </c>
      <c r="C11" s="5" t="s">
        <v>80</v>
      </c>
      <c r="D11" s="6">
        <v>0</v>
      </c>
      <c r="E11" s="6">
        <v>0</v>
      </c>
      <c r="F11" s="6">
        <v>0</v>
      </c>
      <c r="G11" s="6">
        <v>0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T11" s="8"/>
      <c r="U11" s="8"/>
      <c r="V11" s="8"/>
      <c r="W11" s="8"/>
      <c r="X11" s="8"/>
      <c r="Y11" s="8"/>
      <c r="Z11" s="8">
        <v>0</v>
      </c>
      <c r="AA11" s="8"/>
      <c r="AB11" s="9">
        <f t="shared" si="0"/>
        <v>0</v>
      </c>
      <c r="AC11" s="9">
        <v>0</v>
      </c>
      <c r="AE11" s="8">
        <v>0</v>
      </c>
      <c r="AF11" s="8">
        <v>0</v>
      </c>
      <c r="AG11" s="8">
        <v>-192</v>
      </c>
      <c r="AH11" s="8">
        <v>0</v>
      </c>
      <c r="AI11" s="9">
        <v>-192</v>
      </c>
      <c r="AJ11" s="11">
        <f t="shared" si="3"/>
        <v>0</v>
      </c>
      <c r="AK11" s="9"/>
      <c r="AL11" s="11"/>
      <c r="AM11" s="6">
        <f t="shared" si="1"/>
        <v>0</v>
      </c>
      <c r="AN11" s="12">
        <v>0</v>
      </c>
      <c r="AO11" s="12"/>
      <c r="AP11" s="12"/>
      <c r="AQ11" s="12"/>
      <c r="AR11" s="12"/>
      <c r="AS11" s="13">
        <v>0</v>
      </c>
      <c r="AT11" s="12">
        <v>0</v>
      </c>
      <c r="AU11" s="12"/>
      <c r="AV11" s="12"/>
      <c r="AW11" s="12"/>
      <c r="AX11" s="13">
        <v>0</v>
      </c>
      <c r="AY11" s="12">
        <v>0</v>
      </c>
      <c r="AZ11" s="12"/>
      <c r="BA11" s="12"/>
      <c r="BB11" s="12"/>
      <c r="BC11" s="12"/>
      <c r="BD11" s="13">
        <v>0</v>
      </c>
      <c r="BE11" s="12"/>
      <c r="BF11" s="12"/>
      <c r="BG11" s="12">
        <v>20.5</v>
      </c>
      <c r="BH11" s="12">
        <v>148.5</v>
      </c>
      <c r="BJ11" s="12"/>
      <c r="BK11" s="12">
        <v>0</v>
      </c>
      <c r="BL11" s="12">
        <v>0</v>
      </c>
      <c r="BM11" s="13">
        <v>20.5</v>
      </c>
      <c r="BN11" s="9"/>
      <c r="BO11" s="9">
        <f t="shared" si="2"/>
        <v>0</v>
      </c>
      <c r="BP11" s="9"/>
    </row>
    <row r="12" spans="1:68" ht="22.5" customHeight="1">
      <c r="A12" s="4">
        <v>11</v>
      </c>
      <c r="B12" s="5" t="s">
        <v>76</v>
      </c>
      <c r="C12" s="5" t="s">
        <v>81</v>
      </c>
      <c r="D12" s="6">
        <v>0</v>
      </c>
      <c r="E12" s="6">
        <v>0</v>
      </c>
      <c r="F12" s="6">
        <v>0</v>
      </c>
      <c r="G12" s="6">
        <v>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T12" s="8"/>
      <c r="U12" s="8"/>
      <c r="V12" s="8"/>
      <c r="W12" s="8"/>
      <c r="X12" s="8"/>
      <c r="Y12" s="8"/>
      <c r="Z12" s="8">
        <v>0</v>
      </c>
      <c r="AA12" s="8"/>
      <c r="AB12" s="9">
        <f t="shared" si="0"/>
        <v>0</v>
      </c>
      <c r="AC12" s="9">
        <v>0</v>
      </c>
      <c r="AE12" s="8">
        <v>0</v>
      </c>
      <c r="AF12" s="8">
        <v>0</v>
      </c>
      <c r="AG12" s="8">
        <v>0</v>
      </c>
      <c r="AH12" s="8">
        <v>0</v>
      </c>
      <c r="AI12" s="9">
        <v>0</v>
      </c>
      <c r="AJ12" s="11">
        <f t="shared" si="3"/>
        <v>0</v>
      </c>
      <c r="AK12" s="9"/>
      <c r="AL12" s="11"/>
      <c r="AM12" s="6">
        <f t="shared" si="1"/>
        <v>0</v>
      </c>
      <c r="AN12" s="12">
        <v>0</v>
      </c>
      <c r="AO12" s="12"/>
      <c r="AP12" s="12"/>
      <c r="AQ12" s="12"/>
      <c r="AR12" s="12"/>
      <c r="AS12" s="13">
        <v>0</v>
      </c>
      <c r="AT12" s="12">
        <v>0</v>
      </c>
      <c r="AU12" s="12"/>
      <c r="AV12" s="12"/>
      <c r="AW12" s="12"/>
      <c r="AX12" s="13">
        <v>0</v>
      </c>
      <c r="AY12" s="12">
        <v>0</v>
      </c>
      <c r="AZ12" s="12"/>
      <c r="BA12" s="12"/>
      <c r="BB12" s="12"/>
      <c r="BC12" s="12"/>
      <c r="BD12" s="13">
        <v>0</v>
      </c>
      <c r="BE12" s="12"/>
      <c r="BF12" s="12"/>
      <c r="BG12" s="12"/>
      <c r="BH12" s="12"/>
      <c r="BJ12" s="12"/>
      <c r="BK12" s="12">
        <v>0</v>
      </c>
      <c r="BL12" s="12">
        <v>0</v>
      </c>
      <c r="BM12" s="13">
        <v>0</v>
      </c>
      <c r="BN12" s="9"/>
      <c r="BO12" s="9">
        <f t="shared" si="2"/>
        <v>0</v>
      </c>
      <c r="BP12" s="9"/>
    </row>
    <row r="13" spans="1:68" ht="22.5" customHeight="1">
      <c r="A13" s="4">
        <v>12</v>
      </c>
      <c r="B13" s="5" t="s">
        <v>76</v>
      </c>
      <c r="C13" s="5" t="s">
        <v>82</v>
      </c>
      <c r="D13" s="6">
        <v>233.5</v>
      </c>
      <c r="E13" s="6">
        <v>2892.45</v>
      </c>
      <c r="F13" s="6">
        <v>348.15</v>
      </c>
      <c r="G13" s="6">
        <v>3474.1</v>
      </c>
      <c r="H13" s="6"/>
      <c r="I13" s="6"/>
      <c r="J13" s="6"/>
      <c r="K13" s="6"/>
      <c r="L13" s="6">
        <v>44.85</v>
      </c>
      <c r="M13" s="6"/>
      <c r="N13" s="6"/>
      <c r="O13" s="6"/>
      <c r="P13" s="6"/>
      <c r="Q13" s="6"/>
      <c r="R13" s="6"/>
      <c r="T13" s="8"/>
      <c r="U13" s="8"/>
      <c r="V13" s="8"/>
      <c r="W13" s="8"/>
      <c r="X13" s="8"/>
      <c r="Y13" s="8"/>
      <c r="Z13" s="8">
        <v>0</v>
      </c>
      <c r="AA13" s="8"/>
      <c r="AB13" s="9">
        <f t="shared" si="0"/>
        <v>3518.95</v>
      </c>
      <c r="AC13" s="9">
        <v>3499.2372999999998</v>
      </c>
      <c r="AE13" s="8">
        <v>0</v>
      </c>
      <c r="AF13" s="8">
        <v>0</v>
      </c>
      <c r="AG13" s="8">
        <v>0</v>
      </c>
      <c r="AH13" s="8">
        <v>0</v>
      </c>
      <c r="AI13" s="9">
        <v>0</v>
      </c>
      <c r="AJ13" s="11">
        <f t="shared" si="3"/>
        <v>0</v>
      </c>
      <c r="AK13" s="9"/>
      <c r="AL13" s="11"/>
      <c r="AM13" s="6">
        <f t="shared" si="1"/>
        <v>233.5</v>
      </c>
      <c r="AN13" s="12">
        <v>2865.5</v>
      </c>
      <c r="AO13" s="12"/>
      <c r="AP13" s="12">
        <v>3333</v>
      </c>
      <c r="AQ13" s="12"/>
      <c r="AR13" s="12"/>
      <c r="AS13" s="13">
        <v>6198.5</v>
      </c>
      <c r="AT13" s="12">
        <v>5870.5</v>
      </c>
      <c r="AU13" s="12"/>
      <c r="AV13" s="12"/>
      <c r="AW13" s="12"/>
      <c r="AX13" s="13">
        <v>5870.5</v>
      </c>
      <c r="AY13" s="12">
        <v>107</v>
      </c>
      <c r="AZ13" s="12"/>
      <c r="BA13" s="12">
        <v>145.5</v>
      </c>
      <c r="BB13" s="12"/>
      <c r="BC13" s="12"/>
      <c r="BD13" s="13">
        <v>252.5</v>
      </c>
      <c r="BE13" s="12"/>
      <c r="BF13" s="12"/>
      <c r="BG13" s="12"/>
      <c r="BH13" s="12"/>
      <c r="BJ13" s="12"/>
      <c r="BK13" s="12">
        <v>0</v>
      </c>
      <c r="BL13" s="12">
        <v>0</v>
      </c>
      <c r="BM13" s="13">
        <v>0</v>
      </c>
      <c r="BN13" s="9">
        <v>0</v>
      </c>
      <c r="BO13" s="9">
        <f t="shared" si="2"/>
        <v>0.56770992982173107</v>
      </c>
      <c r="BP13" s="9">
        <v>24.548514851485098</v>
      </c>
    </row>
    <row r="14" spans="1:68" ht="22.5" customHeight="1">
      <c r="A14" s="4">
        <v>13</v>
      </c>
      <c r="B14" s="5" t="s">
        <v>76</v>
      </c>
      <c r="C14" s="5" t="s">
        <v>83</v>
      </c>
      <c r="D14" s="6">
        <v>0</v>
      </c>
      <c r="E14" s="6">
        <v>0</v>
      </c>
      <c r="F14" s="6">
        <v>0</v>
      </c>
      <c r="G14" s="6">
        <v>0</v>
      </c>
      <c r="H14" s="6">
        <v>8183.6</v>
      </c>
      <c r="I14" s="6">
        <v>411.21</v>
      </c>
      <c r="J14" s="6">
        <v>4868.1000000000004</v>
      </c>
      <c r="K14" s="6">
        <v>350.53</v>
      </c>
      <c r="L14" s="6"/>
      <c r="M14" s="6">
        <v>798</v>
      </c>
      <c r="N14" s="6">
        <v>12964.6</v>
      </c>
      <c r="O14" s="6"/>
      <c r="P14" s="6"/>
      <c r="Q14" s="6"/>
      <c r="R14" s="6"/>
      <c r="T14" s="8"/>
      <c r="U14" s="8"/>
      <c r="V14" s="8"/>
      <c r="W14" s="8"/>
      <c r="X14" s="8"/>
      <c r="Y14" s="8"/>
      <c r="Z14" s="8">
        <v>0</v>
      </c>
      <c r="AA14" s="8">
        <v>64.23</v>
      </c>
      <c r="AB14" s="9">
        <f t="shared" si="0"/>
        <v>26878.530000000002</v>
      </c>
      <c r="AC14" s="9">
        <v>26039.002400000001</v>
      </c>
      <c r="AD14" s="6">
        <v>9869.5249999999996</v>
      </c>
      <c r="AE14" s="8">
        <v>0</v>
      </c>
      <c r="AF14" s="8">
        <v>0</v>
      </c>
      <c r="AG14" s="8">
        <v>-605.25</v>
      </c>
      <c r="AH14" s="8">
        <v>0</v>
      </c>
      <c r="AI14" s="9">
        <v>9264.2749999999996</v>
      </c>
      <c r="AJ14" s="11">
        <f t="shared" si="3"/>
        <v>0.34467193704417609</v>
      </c>
      <c r="AK14" s="9"/>
      <c r="AL14" s="11"/>
      <c r="AM14" s="6">
        <f t="shared" si="1"/>
        <v>798</v>
      </c>
      <c r="AN14" s="12">
        <v>0</v>
      </c>
      <c r="AO14" s="12">
        <v>60258</v>
      </c>
      <c r="AP14" s="12"/>
      <c r="AQ14" s="12"/>
      <c r="AR14" s="12"/>
      <c r="AS14" s="13">
        <v>60258</v>
      </c>
      <c r="AT14" s="12">
        <v>0</v>
      </c>
      <c r="AU14" s="12"/>
      <c r="AV14" s="12"/>
      <c r="AW14" s="12">
        <v>111309.5</v>
      </c>
      <c r="AX14" s="13">
        <v>111309.5</v>
      </c>
      <c r="AY14" s="12">
        <v>0</v>
      </c>
      <c r="AZ14" s="12">
        <v>2499.5</v>
      </c>
      <c r="BA14" s="12"/>
      <c r="BB14" s="12"/>
      <c r="BC14" s="12"/>
      <c r="BD14" s="13">
        <v>2499.5</v>
      </c>
      <c r="BE14" s="12"/>
      <c r="BF14" s="12"/>
      <c r="BG14" s="12">
        <v>329</v>
      </c>
      <c r="BH14" s="12">
        <v>732.5</v>
      </c>
      <c r="BJ14" s="12"/>
      <c r="BK14" s="12">
        <v>0</v>
      </c>
      <c r="BL14" s="12">
        <v>0</v>
      </c>
      <c r="BM14" s="13">
        <v>329</v>
      </c>
      <c r="BN14" s="9">
        <v>0.131626325265053</v>
      </c>
      <c r="BO14" s="9">
        <f t="shared" si="2"/>
        <v>0.44605745295230514</v>
      </c>
      <c r="BP14" s="9">
        <v>24.1080216043208</v>
      </c>
    </row>
    <row r="15" spans="1:68" ht="22.5" customHeight="1">
      <c r="A15" s="4">
        <v>14</v>
      </c>
      <c r="B15" s="5" t="s">
        <v>76</v>
      </c>
      <c r="C15" s="5" t="s">
        <v>84</v>
      </c>
      <c r="D15" s="6"/>
      <c r="E15" s="6"/>
      <c r="F15" s="6"/>
      <c r="G15" s="6"/>
      <c r="H15" s="6">
        <v>890.15</v>
      </c>
      <c r="I15" s="6">
        <v>45.28</v>
      </c>
      <c r="J15" s="21"/>
      <c r="K15" s="21"/>
      <c r="L15" s="6">
        <v>0</v>
      </c>
      <c r="M15" s="6">
        <v>117.5</v>
      </c>
      <c r="N15" s="6">
        <v>1775.65</v>
      </c>
      <c r="O15" s="6"/>
      <c r="P15" s="6"/>
      <c r="Q15" s="6"/>
      <c r="R15" s="6"/>
      <c r="T15" s="8"/>
      <c r="U15" s="8"/>
      <c r="V15" s="8"/>
      <c r="W15" s="8"/>
      <c r="X15" s="8"/>
      <c r="Y15" s="8"/>
      <c r="Z15" s="8"/>
      <c r="AA15" s="8">
        <v>11.23</v>
      </c>
      <c r="AB15" s="9">
        <f t="shared" si="0"/>
        <v>2794.53</v>
      </c>
      <c r="AC15" s="9">
        <v>2738.5961000000002</v>
      </c>
      <c r="AD15" s="6">
        <v>446.64499999999998</v>
      </c>
      <c r="AE15" s="8">
        <v>0</v>
      </c>
      <c r="AF15" s="8">
        <v>0</v>
      </c>
      <c r="AG15" s="8">
        <v>-156.75</v>
      </c>
      <c r="AH15" s="8">
        <v>0</v>
      </c>
      <c r="AI15" s="9">
        <v>289.89499999999998</v>
      </c>
      <c r="AJ15" s="11">
        <f t="shared" si="3"/>
        <v>0.10373658540076505</v>
      </c>
      <c r="AK15" s="9"/>
      <c r="AL15" s="11"/>
      <c r="AM15" s="6">
        <f t="shared" si="1"/>
        <v>117.5</v>
      </c>
      <c r="AN15" s="12"/>
      <c r="AO15" s="12">
        <v>997.5</v>
      </c>
      <c r="AP15" s="12">
        <v>13.5</v>
      </c>
      <c r="AQ15" s="12"/>
      <c r="AR15" s="12"/>
      <c r="AS15" s="13">
        <v>1011</v>
      </c>
      <c r="AT15" s="12"/>
      <c r="AU15" s="12"/>
      <c r="AV15" s="12"/>
      <c r="AW15" s="12">
        <v>17203</v>
      </c>
      <c r="AX15" s="13">
        <v>17203</v>
      </c>
      <c r="AY15" s="12"/>
      <c r="AZ15" s="12">
        <v>11.5</v>
      </c>
      <c r="BA15" s="12">
        <v>0.5</v>
      </c>
      <c r="BB15" s="12"/>
      <c r="BC15" s="12"/>
      <c r="BD15" s="13">
        <v>12</v>
      </c>
      <c r="BE15" s="12"/>
      <c r="BF15" s="12"/>
      <c r="BG15" s="12">
        <v>0</v>
      </c>
      <c r="BH15" s="12">
        <v>104.5</v>
      </c>
      <c r="BJ15" s="12"/>
      <c r="BK15" s="12"/>
      <c r="BL15" s="12"/>
      <c r="BM15" s="13">
        <v>0</v>
      </c>
      <c r="BN15" s="9">
        <v>0</v>
      </c>
      <c r="BO15" s="9">
        <f t="shared" si="2"/>
        <v>2.7641246290801189</v>
      </c>
      <c r="BP15" s="9">
        <v>84.25</v>
      </c>
    </row>
    <row r="16" spans="1:68" ht="22.5" customHeight="1">
      <c r="A16" s="4">
        <v>15</v>
      </c>
      <c r="B16" s="5" t="s">
        <v>76</v>
      </c>
      <c r="C16" s="5" t="s">
        <v>85</v>
      </c>
      <c r="D16" s="6"/>
      <c r="E16" s="6"/>
      <c r="F16" s="6"/>
      <c r="G16" s="6"/>
      <c r="H16" s="6">
        <v>38723.449999999997</v>
      </c>
      <c r="I16" s="6">
        <v>1943.64</v>
      </c>
      <c r="J16" s="6">
        <v>20011.2</v>
      </c>
      <c r="K16" s="6">
        <v>1276.135</v>
      </c>
      <c r="L16" s="6"/>
      <c r="M16" s="6">
        <v>1463.4</v>
      </c>
      <c r="N16" s="6">
        <v>20643</v>
      </c>
      <c r="O16" s="6"/>
      <c r="P16" s="6"/>
      <c r="Q16" s="6"/>
      <c r="R16" s="6"/>
      <c r="T16" s="8"/>
      <c r="U16" s="8"/>
      <c r="V16" s="8"/>
      <c r="W16" s="8"/>
      <c r="X16" s="8"/>
      <c r="Y16" s="8"/>
      <c r="Z16" s="8"/>
      <c r="AA16" s="8">
        <v>411.72</v>
      </c>
      <c r="AB16" s="9">
        <f t="shared" si="0"/>
        <v>81252.76999999999</v>
      </c>
      <c r="AC16" s="9">
        <v>77909.137000000002</v>
      </c>
      <c r="AD16" s="6">
        <v>22911.235000000001</v>
      </c>
      <c r="AE16" s="8">
        <v>0</v>
      </c>
      <c r="AF16" s="8">
        <v>0</v>
      </c>
      <c r="AG16" s="8">
        <v>-5130</v>
      </c>
      <c r="AH16" s="8">
        <v>0</v>
      </c>
      <c r="AI16" s="9">
        <v>17781.235000000001</v>
      </c>
      <c r="AJ16" s="11">
        <f t="shared" si="3"/>
        <v>0.21883850852100184</v>
      </c>
      <c r="AK16" s="9"/>
      <c r="AL16" s="11"/>
      <c r="AM16" s="6">
        <f t="shared" si="1"/>
        <v>1463.4</v>
      </c>
      <c r="AN16" s="12"/>
      <c r="AO16" s="12">
        <v>91854</v>
      </c>
      <c r="AP16" s="12"/>
      <c r="AQ16" s="12"/>
      <c r="AR16" s="12"/>
      <c r="AS16" s="13">
        <v>91854</v>
      </c>
      <c r="AT16" s="12"/>
      <c r="AU16" s="12"/>
      <c r="AV16" s="12"/>
      <c r="AW16" s="12">
        <v>365546</v>
      </c>
      <c r="AX16" s="13">
        <v>365546</v>
      </c>
      <c r="AY16" s="12"/>
      <c r="AZ16" s="12">
        <v>2028</v>
      </c>
      <c r="BA16" s="12"/>
      <c r="BB16" s="12"/>
      <c r="BC16" s="12"/>
      <c r="BD16" s="13">
        <v>2028</v>
      </c>
      <c r="BE16" s="12"/>
      <c r="BF16" s="12"/>
      <c r="BG16" s="12">
        <v>6783.5</v>
      </c>
      <c r="BH16" s="12">
        <v>10203.5</v>
      </c>
      <c r="BJ16" s="12"/>
      <c r="BK16" s="12"/>
      <c r="BL16" s="12"/>
      <c r="BM16" s="13">
        <v>6783.5</v>
      </c>
      <c r="BN16" s="9">
        <v>3.3449211045364802</v>
      </c>
      <c r="BO16" s="9">
        <f t="shared" si="2"/>
        <v>0.88458608226097923</v>
      </c>
      <c r="BP16" s="9">
        <v>45.292899408284001</v>
      </c>
    </row>
    <row r="17" spans="1:68" ht="22.5" customHeight="1">
      <c r="A17" s="4">
        <v>16</v>
      </c>
      <c r="B17" s="5" t="s">
        <v>76</v>
      </c>
      <c r="C17" s="5" t="s">
        <v>86</v>
      </c>
      <c r="D17" s="6"/>
      <c r="E17" s="6"/>
      <c r="F17" s="6"/>
      <c r="G17" s="6"/>
      <c r="H17" s="6">
        <v>29449.205000000002</v>
      </c>
      <c r="I17" s="6">
        <v>1486.46</v>
      </c>
      <c r="J17" s="6">
        <v>54848.35</v>
      </c>
      <c r="K17" s="6">
        <v>3501.8249999999998</v>
      </c>
      <c r="L17" s="6"/>
      <c r="M17" s="6">
        <v>1908.55</v>
      </c>
      <c r="N17" s="6">
        <v>68561.2</v>
      </c>
      <c r="O17" s="6"/>
      <c r="P17" s="6"/>
      <c r="Q17" s="6"/>
      <c r="R17" s="6"/>
      <c r="T17" s="8"/>
      <c r="U17" s="8"/>
      <c r="V17" s="8"/>
      <c r="W17" s="8"/>
      <c r="X17" s="8"/>
      <c r="Y17" s="8"/>
      <c r="Z17" s="8"/>
      <c r="AA17" s="8"/>
      <c r="AB17" s="9">
        <f t="shared" si="0"/>
        <v>154767.30499999999</v>
      </c>
      <c r="AC17" s="9">
        <v>149367.65280000001</v>
      </c>
      <c r="AD17" s="6">
        <v>90509.684999999998</v>
      </c>
      <c r="AE17" s="8">
        <v>0</v>
      </c>
      <c r="AF17" s="8">
        <v>0</v>
      </c>
      <c r="AG17" s="8">
        <v>21251.25</v>
      </c>
      <c r="AH17" s="8">
        <v>0</v>
      </c>
      <c r="AI17" s="9">
        <v>111760.935</v>
      </c>
      <c r="AJ17" s="11">
        <f t="shared" si="3"/>
        <v>0.72212238237268522</v>
      </c>
      <c r="AK17" s="9"/>
      <c r="AL17" s="11"/>
      <c r="AM17" s="6">
        <f t="shared" si="1"/>
        <v>1908.55</v>
      </c>
      <c r="AN17" s="12"/>
      <c r="AO17" s="12">
        <v>302312</v>
      </c>
      <c r="AP17" s="12"/>
      <c r="AQ17" s="12"/>
      <c r="AR17" s="12"/>
      <c r="AS17" s="13">
        <v>302312</v>
      </c>
      <c r="AT17" s="12"/>
      <c r="AU17" s="12"/>
      <c r="AV17" s="12"/>
      <c r="AW17" s="12">
        <v>365424.5</v>
      </c>
      <c r="AX17" s="13">
        <v>365424.5</v>
      </c>
      <c r="AY17" s="12"/>
      <c r="AZ17" s="12">
        <v>6102</v>
      </c>
      <c r="BA17" s="12"/>
      <c r="BB17" s="12"/>
      <c r="BC17" s="12"/>
      <c r="BD17" s="13">
        <v>6102</v>
      </c>
      <c r="BE17" s="12"/>
      <c r="BF17" s="12"/>
      <c r="BG17" s="12">
        <v>16426.5</v>
      </c>
      <c r="BH17" s="12">
        <v>2259</v>
      </c>
      <c r="BJ17" s="12"/>
      <c r="BK17" s="12"/>
      <c r="BL17" s="12"/>
      <c r="BM17" s="13">
        <v>16426.5</v>
      </c>
      <c r="BN17" s="9">
        <v>2.6919862340216301</v>
      </c>
      <c r="BO17" s="9">
        <f t="shared" si="2"/>
        <v>0.51194562240334485</v>
      </c>
      <c r="BP17" s="9">
        <v>49.5431006227466</v>
      </c>
    </row>
    <row r="18" spans="1:68" ht="22.5" customHeight="1">
      <c r="A18" s="4">
        <v>17</v>
      </c>
      <c r="B18" s="5" t="s">
        <v>76</v>
      </c>
      <c r="C18" s="5" t="s">
        <v>87</v>
      </c>
      <c r="D18" s="6"/>
      <c r="E18" s="6"/>
      <c r="F18" s="6"/>
      <c r="G18" s="6"/>
      <c r="H18" s="6">
        <v>46630.35</v>
      </c>
      <c r="I18" s="6">
        <v>2346.89</v>
      </c>
      <c r="J18" s="6">
        <v>33972.050000000003</v>
      </c>
      <c r="K18" s="6">
        <v>1509.66</v>
      </c>
      <c r="L18" s="6"/>
      <c r="M18" s="6">
        <v>2113.1999999999998</v>
      </c>
      <c r="N18" s="6">
        <v>35279.75</v>
      </c>
      <c r="O18" s="6"/>
      <c r="P18" s="6"/>
      <c r="Q18" s="6"/>
      <c r="R18" s="6"/>
      <c r="T18" s="8"/>
      <c r="U18" s="8"/>
      <c r="V18" s="8"/>
      <c r="W18" s="8"/>
      <c r="X18" s="8"/>
      <c r="Y18" s="8"/>
      <c r="Z18" s="8"/>
      <c r="AA18" s="8">
        <v>500</v>
      </c>
      <c r="AB18" s="9">
        <f t="shared" si="0"/>
        <v>118495.34999999999</v>
      </c>
      <c r="AC18" s="9">
        <v>114427.12149999999</v>
      </c>
      <c r="AD18" s="6">
        <v>45770.345000000001</v>
      </c>
      <c r="AE18" s="8">
        <v>0</v>
      </c>
      <c r="AF18" s="8">
        <v>0</v>
      </c>
      <c r="AG18" s="8">
        <v>-69</v>
      </c>
      <c r="AH18" s="8">
        <v>0</v>
      </c>
      <c r="AI18" s="9">
        <v>45701.345000000001</v>
      </c>
      <c r="AJ18" s="11">
        <f t="shared" si="3"/>
        <v>0.38568049294761358</v>
      </c>
      <c r="AK18" s="9"/>
      <c r="AL18" s="11"/>
      <c r="AM18" s="6">
        <f t="shared" si="1"/>
        <v>2113.1999999999998</v>
      </c>
      <c r="AN18" s="12"/>
      <c r="AO18" s="12">
        <v>231439.5</v>
      </c>
      <c r="AP18" s="12"/>
      <c r="AQ18" s="12"/>
      <c r="AR18" s="12"/>
      <c r="AS18" s="13">
        <v>231439.5</v>
      </c>
      <c r="AT18" s="12"/>
      <c r="AU18" s="12"/>
      <c r="AV18" s="12"/>
      <c r="AW18" s="12">
        <v>250575</v>
      </c>
      <c r="AX18" s="13">
        <v>250575</v>
      </c>
      <c r="AY18" s="12"/>
      <c r="AZ18" s="12">
        <v>4615</v>
      </c>
      <c r="BA18" s="12"/>
      <c r="BB18" s="12"/>
      <c r="BC18" s="12"/>
      <c r="BD18" s="13">
        <v>4615</v>
      </c>
      <c r="BE18" s="12"/>
      <c r="BF18" s="12"/>
      <c r="BG18" s="12">
        <v>18928.5</v>
      </c>
      <c r="BH18" s="12">
        <v>18974.5</v>
      </c>
      <c r="BJ18" s="12"/>
      <c r="BK18" s="12"/>
      <c r="BL18" s="12"/>
      <c r="BM18" s="13">
        <v>18928.5</v>
      </c>
      <c r="BN18" s="9">
        <v>4.1015167930660796</v>
      </c>
      <c r="BO18" s="9">
        <f t="shared" si="2"/>
        <v>0.5119927670082246</v>
      </c>
      <c r="BP18" s="9">
        <v>50.149404117009702</v>
      </c>
    </row>
    <row r="19" spans="1:68" ht="22.5" customHeight="1">
      <c r="A19" s="4">
        <v>18</v>
      </c>
      <c r="B19" s="5" t="s">
        <v>76</v>
      </c>
      <c r="C19" s="5" t="s">
        <v>88</v>
      </c>
      <c r="D19" s="6"/>
      <c r="E19" s="6"/>
      <c r="F19" s="6"/>
      <c r="G19" s="6"/>
      <c r="H19" s="6">
        <v>36282.31</v>
      </c>
      <c r="I19" s="6">
        <v>1824.89</v>
      </c>
      <c r="J19" s="6">
        <v>38994.400000000001</v>
      </c>
      <c r="K19" s="6">
        <v>2479.605</v>
      </c>
      <c r="L19" s="6"/>
      <c r="M19" s="6">
        <v>2082</v>
      </c>
      <c r="N19" s="6">
        <v>43626.35</v>
      </c>
      <c r="O19" s="6"/>
      <c r="P19" s="6"/>
      <c r="Q19" s="6"/>
      <c r="R19" s="6"/>
      <c r="T19" s="8"/>
      <c r="U19" s="8"/>
      <c r="V19" s="8"/>
      <c r="W19" s="8"/>
      <c r="X19" s="8"/>
      <c r="Y19" s="8"/>
      <c r="Z19" s="8"/>
      <c r="AA19" s="8"/>
      <c r="AB19" s="9">
        <f t="shared" si="0"/>
        <v>120985.06</v>
      </c>
      <c r="AC19" s="9">
        <v>116418.8069</v>
      </c>
      <c r="AD19" s="6">
        <v>41771.654999999999</v>
      </c>
      <c r="AE19" s="8">
        <v>0</v>
      </c>
      <c r="AF19" s="8">
        <v>0</v>
      </c>
      <c r="AG19" s="8">
        <v>1126.5</v>
      </c>
      <c r="AH19" s="8">
        <v>0</v>
      </c>
      <c r="AI19" s="9">
        <v>42898.154999999999</v>
      </c>
      <c r="AJ19" s="11">
        <f t="shared" si="3"/>
        <v>0.35457398624259889</v>
      </c>
      <c r="AK19" s="9"/>
      <c r="AL19" s="11"/>
      <c r="AM19" s="6">
        <f t="shared" si="1"/>
        <v>2082</v>
      </c>
      <c r="AN19" s="12"/>
      <c r="AO19" s="12">
        <v>211258</v>
      </c>
      <c r="AP19" s="12"/>
      <c r="AQ19" s="12"/>
      <c r="AR19" s="12"/>
      <c r="AS19" s="13">
        <v>211258</v>
      </c>
      <c r="AT19" s="12"/>
      <c r="AU19" s="12"/>
      <c r="AV19" s="12"/>
      <c r="AW19" s="12">
        <v>198348</v>
      </c>
      <c r="AX19" s="13">
        <v>198348</v>
      </c>
      <c r="AY19" s="12"/>
      <c r="AZ19" s="12">
        <v>4307</v>
      </c>
      <c r="BA19" s="12"/>
      <c r="BB19" s="12"/>
      <c r="BC19" s="12"/>
      <c r="BD19" s="13">
        <v>4307</v>
      </c>
      <c r="BE19" s="12"/>
      <c r="BF19" s="12"/>
      <c r="BG19" s="12">
        <v>14741.5</v>
      </c>
      <c r="BH19" s="12">
        <v>13990.5</v>
      </c>
      <c r="BJ19" s="12"/>
      <c r="BK19" s="12"/>
      <c r="BL19" s="12"/>
      <c r="BM19" s="13">
        <v>14741.5</v>
      </c>
      <c r="BN19" s="9">
        <v>3.42268400278616</v>
      </c>
      <c r="BO19" s="9">
        <f t="shared" si="2"/>
        <v>0.57268865557754023</v>
      </c>
      <c r="BP19" s="9">
        <v>49.049918736939802</v>
      </c>
    </row>
    <row r="20" spans="1:68" ht="22.5" customHeight="1">
      <c r="A20" s="4">
        <v>19</v>
      </c>
      <c r="B20" s="5" t="s">
        <v>76</v>
      </c>
      <c r="C20" s="5" t="s">
        <v>89</v>
      </c>
      <c r="D20" s="6">
        <v>0</v>
      </c>
      <c r="E20" s="6">
        <v>0</v>
      </c>
      <c r="F20" s="6">
        <v>0</v>
      </c>
      <c r="G20" s="6">
        <v>0</v>
      </c>
      <c r="H20" s="6">
        <v>66939</v>
      </c>
      <c r="I20" s="6">
        <v>3368.2</v>
      </c>
      <c r="J20" s="6">
        <v>32865.9</v>
      </c>
      <c r="K20" s="6">
        <v>2271.4749999999999</v>
      </c>
      <c r="L20" s="6"/>
      <c r="M20" s="6">
        <v>1069.55</v>
      </c>
      <c r="N20" s="6">
        <v>29009.5</v>
      </c>
      <c r="O20" s="6"/>
      <c r="P20" s="6"/>
      <c r="Q20" s="6"/>
      <c r="R20" s="6"/>
      <c r="T20" s="8"/>
      <c r="U20" s="8"/>
      <c r="V20" s="8"/>
      <c r="W20" s="8"/>
      <c r="X20" s="8"/>
      <c r="Y20" s="8"/>
      <c r="Z20" s="8">
        <v>0</v>
      </c>
      <c r="AA20" s="8">
        <v>10.88</v>
      </c>
      <c r="AB20" s="9">
        <f t="shared" si="0"/>
        <v>129894.83</v>
      </c>
      <c r="AC20" s="9">
        <v>124081.098</v>
      </c>
      <c r="AD20" s="6">
        <v>46664.254999999997</v>
      </c>
      <c r="AE20" s="8">
        <v>0</v>
      </c>
      <c r="AF20" s="8">
        <v>0</v>
      </c>
      <c r="AG20" s="8">
        <v>-3476.25</v>
      </c>
      <c r="AH20" s="8">
        <v>0</v>
      </c>
      <c r="AI20" s="9">
        <v>43188.004999999997</v>
      </c>
      <c r="AJ20" s="11">
        <f t="shared" si="3"/>
        <v>0.33248440295891679</v>
      </c>
      <c r="AK20" s="9"/>
      <c r="AL20" s="11"/>
      <c r="AM20" s="6">
        <f t="shared" si="1"/>
        <v>1069.55</v>
      </c>
      <c r="AN20" s="12">
        <v>0</v>
      </c>
      <c r="AO20" s="12">
        <v>186151</v>
      </c>
      <c r="AP20" s="12"/>
      <c r="AQ20" s="12"/>
      <c r="AR20" s="12"/>
      <c r="AS20" s="13">
        <v>186151</v>
      </c>
      <c r="AT20" s="12">
        <v>0</v>
      </c>
      <c r="AU20" s="12"/>
      <c r="AV20" s="12"/>
      <c r="AW20" s="12">
        <v>533912</v>
      </c>
      <c r="AX20" s="13">
        <v>533912</v>
      </c>
      <c r="AY20" s="12">
        <v>0</v>
      </c>
      <c r="AZ20" s="12">
        <v>4463.5</v>
      </c>
      <c r="BA20" s="12"/>
      <c r="BB20" s="12"/>
      <c r="BC20" s="12"/>
      <c r="BD20" s="13">
        <v>4463.5</v>
      </c>
      <c r="BE20" s="12"/>
      <c r="BF20" s="12"/>
      <c r="BG20" s="12">
        <v>12225.5</v>
      </c>
      <c r="BH20" s="12">
        <v>14543</v>
      </c>
      <c r="BJ20" s="12"/>
      <c r="BK20" s="12">
        <v>0</v>
      </c>
      <c r="BL20" s="12">
        <v>0</v>
      </c>
      <c r="BM20" s="13">
        <v>12225.5</v>
      </c>
      <c r="BN20" s="9">
        <v>2.7389940629550802</v>
      </c>
      <c r="BO20" s="9">
        <f t="shared" si="2"/>
        <v>0.69779281336119603</v>
      </c>
      <c r="BP20" s="9">
        <v>41.705164108883103</v>
      </c>
    </row>
    <row r="21" spans="1:68" ht="22.5" customHeight="1">
      <c r="A21" s="4">
        <v>20</v>
      </c>
      <c r="B21" s="5" t="s">
        <v>76</v>
      </c>
      <c r="C21" s="5" t="s">
        <v>90</v>
      </c>
      <c r="D21" s="6">
        <v>524</v>
      </c>
      <c r="E21" s="6">
        <v>2365.3000000000002</v>
      </c>
      <c r="F21" s="6">
        <v>618.85</v>
      </c>
      <c r="G21" s="6">
        <v>3508.15</v>
      </c>
      <c r="H21" s="6">
        <v>1119.45</v>
      </c>
      <c r="I21" s="6">
        <v>55.98</v>
      </c>
      <c r="J21" s="6">
        <v>863.05</v>
      </c>
      <c r="K21" s="6">
        <v>69.805000000000007</v>
      </c>
      <c r="L21" s="6">
        <v>1966.05</v>
      </c>
      <c r="M21" s="6"/>
      <c r="N21" s="6"/>
      <c r="O21" s="6">
        <v>1732.4749999999999</v>
      </c>
      <c r="P21" s="6">
        <v>151.5</v>
      </c>
      <c r="Q21" s="6">
        <v>10.625</v>
      </c>
      <c r="R21" s="6"/>
      <c r="T21" s="8"/>
      <c r="U21" s="8"/>
      <c r="V21" s="8"/>
      <c r="W21" s="8"/>
      <c r="X21" s="8"/>
      <c r="Y21" s="8"/>
      <c r="Z21" s="8">
        <v>0</v>
      </c>
      <c r="AA21" s="8"/>
      <c r="AB21" s="9">
        <f t="shared" si="0"/>
        <v>9340.6750000000011</v>
      </c>
      <c r="AC21" s="9">
        <v>9174.5637999999999</v>
      </c>
      <c r="AD21" s="6">
        <v>-17658.25</v>
      </c>
      <c r="AE21" s="8">
        <v>0</v>
      </c>
      <c r="AF21" s="8">
        <v>0</v>
      </c>
      <c r="AG21" s="8">
        <v>0</v>
      </c>
      <c r="AH21" s="8">
        <v>0</v>
      </c>
      <c r="AI21" s="9">
        <v>-17658.25</v>
      </c>
      <c r="AJ21" s="11">
        <f t="shared" si="3"/>
        <v>-1.89046830127373</v>
      </c>
      <c r="AK21" s="9"/>
      <c r="AL21" s="11"/>
      <c r="AM21" s="6">
        <f t="shared" si="1"/>
        <v>675.5</v>
      </c>
      <c r="AN21" s="12">
        <v>11534.5</v>
      </c>
      <c r="AO21" s="12"/>
      <c r="AP21" s="12">
        <v>2.5</v>
      </c>
      <c r="AQ21" s="12"/>
      <c r="AR21" s="12"/>
      <c r="AS21" s="13">
        <v>11537</v>
      </c>
      <c r="AT21" s="12">
        <v>7111</v>
      </c>
      <c r="AU21" s="12"/>
      <c r="AV21" s="12"/>
      <c r="AW21" s="12"/>
      <c r="AX21" s="13">
        <v>7111</v>
      </c>
      <c r="AY21" s="12">
        <v>313</v>
      </c>
      <c r="AZ21" s="12"/>
      <c r="BA21" s="12">
        <v>0.5</v>
      </c>
      <c r="BB21" s="12"/>
      <c r="BC21" s="12"/>
      <c r="BD21" s="13">
        <v>313.5</v>
      </c>
      <c r="BE21" s="12"/>
      <c r="BF21" s="12"/>
      <c r="BG21" s="12">
        <v>0</v>
      </c>
      <c r="BH21" s="12">
        <v>0</v>
      </c>
      <c r="BJ21" s="12"/>
      <c r="BK21" s="12">
        <v>0</v>
      </c>
      <c r="BL21" s="12">
        <v>0</v>
      </c>
      <c r="BM21" s="13">
        <v>0</v>
      </c>
      <c r="BN21" s="9">
        <v>0</v>
      </c>
      <c r="BO21" s="9">
        <f t="shared" si="2"/>
        <v>0.80962771951113821</v>
      </c>
      <c r="BP21" s="9">
        <v>36.800637958532697</v>
      </c>
    </row>
    <row r="22" spans="1:68" ht="22.5" customHeight="1">
      <c r="A22" s="4">
        <v>21</v>
      </c>
      <c r="B22" s="5" t="s">
        <v>76</v>
      </c>
      <c r="C22" s="5" t="s">
        <v>91</v>
      </c>
      <c r="D22" s="6"/>
      <c r="E22" s="6"/>
      <c r="F22" s="6"/>
      <c r="G22" s="6"/>
      <c r="H22" s="6">
        <v>3601.6</v>
      </c>
      <c r="I22" s="6">
        <v>180.85499999999999</v>
      </c>
      <c r="J22" s="6">
        <v>2557.5</v>
      </c>
      <c r="K22" s="6">
        <v>182.71</v>
      </c>
      <c r="L22" s="6"/>
      <c r="M22" s="6">
        <v>754</v>
      </c>
      <c r="N22" s="6">
        <v>6583.2</v>
      </c>
      <c r="O22" s="6"/>
      <c r="P22" s="6"/>
      <c r="Q22" s="6"/>
      <c r="R22" s="6"/>
      <c r="T22" s="8"/>
      <c r="U22" s="8"/>
      <c r="V22" s="8"/>
      <c r="W22" s="8"/>
      <c r="X22" s="8"/>
      <c r="Y22" s="8"/>
      <c r="Z22" s="8"/>
      <c r="AA22" s="8"/>
      <c r="AB22" s="9">
        <f t="shared" si="0"/>
        <v>13496.3</v>
      </c>
      <c r="AC22" s="9">
        <v>13093.2358</v>
      </c>
      <c r="AD22" s="6">
        <v>50</v>
      </c>
      <c r="AE22" s="8">
        <v>0</v>
      </c>
      <c r="AF22" s="8">
        <v>0</v>
      </c>
      <c r="AG22" s="8">
        <v>0</v>
      </c>
      <c r="AH22" s="8">
        <v>0</v>
      </c>
      <c r="AI22" s="9">
        <v>50</v>
      </c>
      <c r="AJ22" s="11">
        <f t="shared" si="3"/>
        <v>3.7047190711528345E-3</v>
      </c>
      <c r="AK22" s="9"/>
      <c r="AL22" s="11"/>
      <c r="AM22" s="6">
        <f t="shared" si="1"/>
        <v>754</v>
      </c>
      <c r="AN22" s="12"/>
      <c r="AO22" s="12">
        <v>0</v>
      </c>
      <c r="AP22" s="12"/>
      <c r="AQ22" s="12"/>
      <c r="AR22" s="12"/>
      <c r="AS22" s="13">
        <v>0</v>
      </c>
      <c r="AT22" s="12"/>
      <c r="AU22" s="12"/>
      <c r="AV22" s="12"/>
      <c r="AW22" s="12">
        <v>134897.5</v>
      </c>
      <c r="AX22" s="13">
        <v>134897.5</v>
      </c>
      <c r="AY22" s="12"/>
      <c r="AZ22" s="12">
        <v>0</v>
      </c>
      <c r="BA22" s="12"/>
      <c r="BB22" s="12"/>
      <c r="BC22" s="12"/>
      <c r="BD22" s="13">
        <v>0</v>
      </c>
      <c r="BE22" s="12"/>
      <c r="BF22" s="12"/>
      <c r="BG22" s="12"/>
      <c r="BH22" s="12"/>
      <c r="BJ22" s="12"/>
      <c r="BK22" s="12"/>
      <c r="BL22" s="12"/>
      <c r="BM22" s="13">
        <v>0</v>
      </c>
      <c r="BN22" s="9"/>
      <c r="BO22" s="9">
        <f t="shared" si="2"/>
        <v>0</v>
      </c>
      <c r="BP22" s="9"/>
    </row>
    <row r="23" spans="1:68" ht="22.5" customHeight="1">
      <c r="A23" s="4">
        <v>22</v>
      </c>
      <c r="B23" s="5" t="s">
        <v>92</v>
      </c>
      <c r="C23" s="5" t="s">
        <v>93</v>
      </c>
      <c r="D23" s="6">
        <v>5147.3500000000004</v>
      </c>
      <c r="E23" s="6">
        <v>24437.35</v>
      </c>
      <c r="F23" s="6">
        <v>21668.3</v>
      </c>
      <c r="G23" s="6">
        <v>51253</v>
      </c>
      <c r="H23" s="6">
        <v>9923.25</v>
      </c>
      <c r="I23" s="6">
        <v>501.08</v>
      </c>
      <c r="J23" s="6">
        <v>8020.45</v>
      </c>
      <c r="K23" s="6">
        <v>401.8</v>
      </c>
      <c r="L23" s="6"/>
      <c r="M23" s="6"/>
      <c r="N23" s="6"/>
      <c r="O23" s="6"/>
      <c r="P23" s="6"/>
      <c r="Q23" s="6"/>
      <c r="R23" s="6"/>
      <c r="T23" s="8"/>
      <c r="U23" s="8"/>
      <c r="V23" s="8"/>
      <c r="W23" s="8"/>
      <c r="X23" s="8"/>
      <c r="Y23" s="8"/>
      <c r="Z23" s="8">
        <v>0</v>
      </c>
      <c r="AA23" s="8"/>
      <c r="AB23" s="9">
        <f t="shared" si="0"/>
        <v>69196.7</v>
      </c>
      <c r="AC23" s="9">
        <v>68017.186100000006</v>
      </c>
      <c r="AE23" s="8">
        <v>0</v>
      </c>
      <c r="AF23" s="8">
        <v>0</v>
      </c>
      <c r="AG23" s="8">
        <v>-113.25</v>
      </c>
      <c r="AH23" s="8">
        <v>0</v>
      </c>
      <c r="AI23" s="9">
        <v>-113.25</v>
      </c>
      <c r="AJ23" s="11">
        <f t="shared" si="3"/>
        <v>-1.6366387414428723E-3</v>
      </c>
      <c r="AK23" s="9"/>
      <c r="AL23" s="11"/>
      <c r="AM23" s="6">
        <f t="shared" si="1"/>
        <v>5147.3500000000004</v>
      </c>
      <c r="AN23" s="12">
        <v>76076.5</v>
      </c>
      <c r="AO23" s="12"/>
      <c r="AP23" s="12"/>
      <c r="AQ23" s="12"/>
      <c r="AR23" s="12"/>
      <c r="AS23" s="13">
        <v>76076.5</v>
      </c>
      <c r="AT23" s="12">
        <v>73204.5</v>
      </c>
      <c r="AU23" s="12"/>
      <c r="AV23" s="12"/>
      <c r="AW23" s="12"/>
      <c r="AX23" s="13">
        <v>73204.5</v>
      </c>
      <c r="AY23" s="12">
        <v>2147.5</v>
      </c>
      <c r="AZ23" s="12"/>
      <c r="BA23" s="12"/>
      <c r="BB23" s="12"/>
      <c r="BC23" s="12"/>
      <c r="BD23" s="13">
        <v>2147.5</v>
      </c>
      <c r="BE23" s="12"/>
      <c r="BF23" s="12"/>
      <c r="BG23" s="12">
        <v>1461</v>
      </c>
      <c r="BH23" s="12">
        <v>1536.5</v>
      </c>
      <c r="BJ23" s="12"/>
      <c r="BK23" s="12">
        <v>0</v>
      </c>
      <c r="BL23" s="12">
        <v>0</v>
      </c>
      <c r="BM23" s="13">
        <v>1461</v>
      </c>
      <c r="BN23" s="9">
        <v>0.68032596041909199</v>
      </c>
      <c r="BO23" s="9">
        <f t="shared" si="2"/>
        <v>0.90956734339776402</v>
      </c>
      <c r="BP23" s="9">
        <v>35.425611175785797</v>
      </c>
    </row>
    <row r="24" spans="1:68" ht="22.5" customHeight="1">
      <c r="A24" s="4">
        <v>23</v>
      </c>
      <c r="B24" s="5" t="s">
        <v>92</v>
      </c>
      <c r="C24" s="5" t="s">
        <v>94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T24" s="8">
        <v>146998.79999999999</v>
      </c>
      <c r="U24" s="8">
        <v>314654.8</v>
      </c>
      <c r="V24" s="8"/>
      <c r="W24" s="8"/>
      <c r="X24" s="8"/>
      <c r="Y24" s="8"/>
      <c r="Z24" s="8"/>
      <c r="AA24" s="8"/>
      <c r="AB24" s="9">
        <f t="shared" si="0"/>
        <v>461653.6</v>
      </c>
      <c r="AC24" s="9">
        <v>461653.6</v>
      </c>
      <c r="AD24" s="6">
        <v>190487.375</v>
      </c>
      <c r="AE24" s="8">
        <v>0</v>
      </c>
      <c r="AF24" s="8">
        <v>34425.5</v>
      </c>
      <c r="AG24" s="8">
        <v>0</v>
      </c>
      <c r="AH24" s="8">
        <v>0</v>
      </c>
      <c r="AI24" s="9">
        <v>224912.875</v>
      </c>
      <c r="AJ24" s="11">
        <f t="shared" si="3"/>
        <v>0.4871896915782743</v>
      </c>
      <c r="AK24" s="9"/>
      <c r="AL24" s="11"/>
      <c r="AM24" s="6">
        <f t="shared" si="1"/>
        <v>314654.8</v>
      </c>
      <c r="AN24" s="12"/>
      <c r="AO24" s="12"/>
      <c r="AP24" s="12"/>
      <c r="AQ24" s="12"/>
      <c r="AR24" s="12">
        <v>607582.5</v>
      </c>
      <c r="AS24" s="13">
        <v>607582.5</v>
      </c>
      <c r="AT24" s="12"/>
      <c r="AU24" s="12"/>
      <c r="AV24" s="12">
        <v>598338.5</v>
      </c>
      <c r="AW24" s="12"/>
      <c r="AX24" s="13">
        <v>598338.5</v>
      </c>
      <c r="AY24" s="12"/>
      <c r="AZ24" s="12"/>
      <c r="BA24" s="12"/>
      <c r="BB24" s="12"/>
      <c r="BC24" s="12">
        <v>14943.5</v>
      </c>
      <c r="BD24" s="13">
        <v>14943.5</v>
      </c>
      <c r="BE24" s="12">
        <v>74443.5</v>
      </c>
      <c r="BF24" s="12">
        <v>40018</v>
      </c>
      <c r="BG24" s="12"/>
      <c r="BH24" s="12"/>
      <c r="BJ24" s="12"/>
      <c r="BK24" s="12"/>
      <c r="BL24" s="12"/>
      <c r="BM24" s="13">
        <v>74443.5</v>
      </c>
      <c r="BN24" s="9">
        <v>4.9816642687456003</v>
      </c>
      <c r="BO24" s="9">
        <f t="shared" si="2"/>
        <v>0.75982043590788073</v>
      </c>
      <c r="BP24" s="9">
        <v>40.658647572523101</v>
      </c>
    </row>
    <row r="25" spans="1:68" ht="22.5" customHeight="1">
      <c r="A25" s="4">
        <v>24</v>
      </c>
      <c r="B25" s="5" t="s">
        <v>92</v>
      </c>
      <c r="C25" s="5" t="s">
        <v>95</v>
      </c>
      <c r="D25" s="6"/>
      <c r="E25" s="6"/>
      <c r="F25" s="6"/>
      <c r="G25" s="6"/>
      <c r="H25" s="6"/>
      <c r="I25" s="6"/>
      <c r="J25" s="6"/>
      <c r="K25" s="6"/>
      <c r="L25" s="6"/>
      <c r="M25" s="6">
        <v>400</v>
      </c>
      <c r="N25" s="6">
        <v>0</v>
      </c>
      <c r="O25" s="6"/>
      <c r="P25" s="6"/>
      <c r="Q25" s="6"/>
      <c r="R25" s="6"/>
      <c r="T25" s="8"/>
      <c r="U25" s="8"/>
      <c r="V25" s="8">
        <v>294.5</v>
      </c>
      <c r="W25" s="8">
        <v>5.24</v>
      </c>
      <c r="X25" s="8"/>
      <c r="Y25" s="8"/>
      <c r="Z25" s="8"/>
      <c r="AA25" s="8">
        <v>14945</v>
      </c>
      <c r="AB25" s="9">
        <f t="shared" si="0"/>
        <v>15639.5</v>
      </c>
      <c r="AC25" s="9">
        <v>15634.26</v>
      </c>
      <c r="AD25" s="6">
        <v>-9001</v>
      </c>
      <c r="AE25" s="8">
        <v>0</v>
      </c>
      <c r="AF25" s="8">
        <v>0</v>
      </c>
      <c r="AG25" s="8">
        <v>0</v>
      </c>
      <c r="AH25" s="8">
        <v>0</v>
      </c>
      <c r="AI25" s="9">
        <v>-9001</v>
      </c>
      <c r="AJ25" s="11">
        <f t="shared" si="3"/>
        <v>-0.57552990824514849</v>
      </c>
      <c r="AK25" s="9"/>
      <c r="AL25" s="11"/>
      <c r="AM25" s="6">
        <f t="shared" si="1"/>
        <v>400</v>
      </c>
      <c r="AN25" s="12"/>
      <c r="AO25" s="12">
        <v>199.5</v>
      </c>
      <c r="AP25" s="12"/>
      <c r="AQ25" s="12"/>
      <c r="AR25" s="12"/>
      <c r="AS25" s="13">
        <v>199.5</v>
      </c>
      <c r="AT25" s="12"/>
      <c r="AU25" s="12"/>
      <c r="AV25" s="12"/>
      <c r="AW25" s="12">
        <v>0</v>
      </c>
      <c r="AX25" s="13">
        <v>0</v>
      </c>
      <c r="AY25" s="12"/>
      <c r="AZ25" s="12">
        <v>3</v>
      </c>
      <c r="BA25" s="12"/>
      <c r="BB25" s="12"/>
      <c r="BC25" s="12"/>
      <c r="BD25" s="13">
        <v>3</v>
      </c>
      <c r="BE25" s="12"/>
      <c r="BF25" s="12"/>
      <c r="BG25" s="12"/>
      <c r="BH25" s="12"/>
      <c r="BJ25" s="12"/>
      <c r="BK25" s="12"/>
      <c r="BL25" s="12"/>
      <c r="BM25" s="13">
        <v>0</v>
      </c>
      <c r="BN25" s="9">
        <v>0</v>
      </c>
      <c r="BO25" s="9">
        <f t="shared" si="2"/>
        <v>78.393483709273184</v>
      </c>
      <c r="BP25" s="9">
        <v>66.5</v>
      </c>
    </row>
    <row r="26" spans="1:68" ht="22.5" customHeight="1">
      <c r="A26" s="4">
        <v>25</v>
      </c>
      <c r="B26" s="5" t="s">
        <v>96</v>
      </c>
      <c r="C26" s="5" t="s">
        <v>97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>
        <v>111837.5</v>
      </c>
      <c r="S26" s="6">
        <v>70945</v>
      </c>
      <c r="T26" s="8"/>
      <c r="U26" s="8"/>
      <c r="V26" s="8"/>
      <c r="W26" s="8"/>
      <c r="X26" s="8"/>
      <c r="Y26" s="8"/>
      <c r="Z26" s="8"/>
      <c r="AA26" s="8"/>
      <c r="AB26" s="9">
        <f t="shared" si="0"/>
        <v>182782.5</v>
      </c>
      <c r="AC26" s="9">
        <v>182782.5</v>
      </c>
      <c r="AD26" s="6">
        <v>83532.714999999997</v>
      </c>
      <c r="AE26" s="8">
        <v>16811</v>
      </c>
      <c r="AF26" s="8">
        <v>0</v>
      </c>
      <c r="AG26" s="8">
        <v>0</v>
      </c>
      <c r="AH26" s="8">
        <v>0</v>
      </c>
      <c r="AI26" s="9">
        <v>100343.715</v>
      </c>
      <c r="AJ26" s="11">
        <f t="shared" si="3"/>
        <v>0.54897878626236096</v>
      </c>
      <c r="AK26" s="9"/>
      <c r="AL26" s="11"/>
      <c r="AM26" s="6">
        <f t="shared" si="1"/>
        <v>70945</v>
      </c>
      <c r="AN26" s="12"/>
      <c r="AO26" s="12"/>
      <c r="AP26" s="12"/>
      <c r="AQ26" s="12"/>
      <c r="AR26" s="12"/>
      <c r="AS26" s="13">
        <v>0</v>
      </c>
      <c r="AT26" s="12"/>
      <c r="AU26" s="12">
        <v>371008.5</v>
      </c>
      <c r="AV26" s="12"/>
      <c r="AW26" s="12"/>
      <c r="AX26" s="13">
        <v>371008.5</v>
      </c>
      <c r="AY26" s="12"/>
      <c r="AZ26" s="12"/>
      <c r="BA26" s="12"/>
      <c r="BB26" s="12">
        <v>5049.5</v>
      </c>
      <c r="BC26" s="12"/>
      <c r="BD26" s="13">
        <v>5049.5</v>
      </c>
      <c r="BE26" s="12"/>
      <c r="BF26" s="12"/>
      <c r="BG26" s="12"/>
      <c r="BH26" s="12"/>
      <c r="BI26" s="12">
        <v>45565.32</v>
      </c>
      <c r="BJ26" s="12">
        <v>28754.32</v>
      </c>
      <c r="BK26" s="12"/>
      <c r="BL26" s="12"/>
      <c r="BM26" s="13">
        <v>45565.32</v>
      </c>
      <c r="BN26" s="9">
        <v>9.0237290820873302</v>
      </c>
      <c r="BO26" s="9">
        <f t="shared" si="2"/>
        <v>0</v>
      </c>
      <c r="BP26" s="9">
        <v>0</v>
      </c>
    </row>
    <row r="27" spans="1:68" ht="22.5" customHeight="1">
      <c r="A27" s="4">
        <v>26</v>
      </c>
      <c r="B27" s="5" t="s">
        <v>96</v>
      </c>
      <c r="C27" s="5" t="s">
        <v>98</v>
      </c>
      <c r="D27" s="6"/>
      <c r="E27" s="6"/>
      <c r="F27" s="6"/>
      <c r="G27" s="6"/>
      <c r="H27" s="6"/>
      <c r="I27" s="6"/>
      <c r="J27" s="6"/>
      <c r="K27" s="6"/>
      <c r="L27" s="6"/>
      <c r="M27" s="6">
        <v>3568</v>
      </c>
      <c r="N27" s="6">
        <v>0</v>
      </c>
      <c r="O27" s="6"/>
      <c r="P27" s="6"/>
      <c r="Q27" s="6"/>
      <c r="R27" s="6">
        <v>4885</v>
      </c>
      <c r="S27" s="6">
        <v>7345</v>
      </c>
      <c r="T27" s="8"/>
      <c r="U27" s="8"/>
      <c r="V27" s="8">
        <v>18309.5</v>
      </c>
      <c r="W27" s="8">
        <v>263.64999999999998</v>
      </c>
      <c r="X27" s="8">
        <v>3909.5</v>
      </c>
      <c r="Y27" s="8"/>
      <c r="Z27" s="8"/>
      <c r="AA27" s="8"/>
      <c r="AB27" s="9">
        <f t="shared" si="0"/>
        <v>38017</v>
      </c>
      <c r="AC27" s="9">
        <v>37753.35</v>
      </c>
      <c r="AD27" s="6">
        <v>44957.440000000002</v>
      </c>
      <c r="AE27" s="8">
        <v>0</v>
      </c>
      <c r="AF27" s="8">
        <v>0</v>
      </c>
      <c r="AG27" s="8">
        <v>0</v>
      </c>
      <c r="AH27" s="8">
        <v>0</v>
      </c>
      <c r="AI27" s="9">
        <v>44957.440000000002</v>
      </c>
      <c r="AJ27" s="11">
        <f t="shared" si="3"/>
        <v>1.1825614856511562</v>
      </c>
      <c r="AK27" s="9"/>
      <c r="AL27" s="11"/>
      <c r="AM27" s="6">
        <f t="shared" si="1"/>
        <v>10913</v>
      </c>
      <c r="AN27" s="12"/>
      <c r="AO27" s="12">
        <v>37247.5</v>
      </c>
      <c r="AP27" s="12"/>
      <c r="AQ27" s="12"/>
      <c r="AR27" s="12"/>
      <c r="AS27" s="13">
        <v>37247.5</v>
      </c>
      <c r="AT27" s="12"/>
      <c r="AU27" s="12">
        <v>0</v>
      </c>
      <c r="AV27" s="12"/>
      <c r="AW27" s="12">
        <v>0</v>
      </c>
      <c r="AX27" s="13">
        <v>0</v>
      </c>
      <c r="AY27" s="12"/>
      <c r="AZ27" s="12">
        <v>1435</v>
      </c>
      <c r="BA27" s="12"/>
      <c r="BB27" s="12">
        <v>0</v>
      </c>
      <c r="BC27" s="12"/>
      <c r="BD27" s="13">
        <v>1435</v>
      </c>
      <c r="BE27" s="12"/>
      <c r="BF27" s="12"/>
      <c r="BG27" s="12"/>
      <c r="BH27" s="12"/>
      <c r="BI27" s="12">
        <v>0</v>
      </c>
      <c r="BJ27" s="12">
        <v>0</v>
      </c>
      <c r="BK27" s="12"/>
      <c r="BL27" s="12"/>
      <c r="BM27" s="13">
        <v>0</v>
      </c>
      <c r="BN27" s="9">
        <v>0</v>
      </c>
      <c r="BO27" s="9">
        <f t="shared" si="2"/>
        <v>1.0206591046378952</v>
      </c>
      <c r="BP27" s="9">
        <v>25.956445993031299</v>
      </c>
    </row>
    <row r="28" spans="1:68" ht="22.5" customHeight="1">
      <c r="A28" s="4">
        <v>27</v>
      </c>
      <c r="B28" s="5" t="s">
        <v>99</v>
      </c>
      <c r="C28" s="5" t="s">
        <v>100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T28" s="8">
        <v>38650</v>
      </c>
      <c r="U28" s="8">
        <v>332049.5</v>
      </c>
      <c r="V28" s="8"/>
      <c r="W28" s="8"/>
      <c r="X28" s="8"/>
      <c r="Y28" s="8"/>
      <c r="Z28" s="8"/>
      <c r="AA28" s="8"/>
      <c r="AB28" s="9">
        <f t="shared" si="0"/>
        <v>370699.5</v>
      </c>
      <c r="AC28" s="9">
        <v>370699.5</v>
      </c>
      <c r="AD28" s="6">
        <v>287886.92</v>
      </c>
      <c r="AE28" s="8">
        <v>0</v>
      </c>
      <c r="AF28" s="8">
        <v>58234.5</v>
      </c>
      <c r="AG28" s="8">
        <v>0</v>
      </c>
      <c r="AH28" s="8">
        <v>0</v>
      </c>
      <c r="AI28" s="9">
        <v>346121.42</v>
      </c>
      <c r="AJ28" s="11">
        <f t="shared" si="3"/>
        <v>0.93369810318060853</v>
      </c>
      <c r="AK28" s="9"/>
      <c r="AL28" s="11"/>
      <c r="AM28" s="6">
        <f t="shared" si="1"/>
        <v>332049.5</v>
      </c>
      <c r="AN28" s="12"/>
      <c r="AO28" s="12"/>
      <c r="AP28" s="12"/>
      <c r="AQ28" s="12"/>
      <c r="AR28" s="12">
        <v>544396</v>
      </c>
      <c r="AS28" s="13">
        <v>544396</v>
      </c>
      <c r="AT28" s="12"/>
      <c r="AU28" s="12"/>
      <c r="AV28" s="12">
        <v>454091</v>
      </c>
      <c r="AW28" s="12"/>
      <c r="AX28" s="13">
        <v>454091</v>
      </c>
      <c r="AY28" s="12"/>
      <c r="AZ28" s="12"/>
      <c r="BA28" s="12"/>
      <c r="BB28" s="12"/>
      <c r="BC28" s="12">
        <v>13124</v>
      </c>
      <c r="BD28" s="13">
        <v>13124</v>
      </c>
      <c r="BE28" s="12">
        <v>140615.5</v>
      </c>
      <c r="BF28" s="12">
        <v>82381</v>
      </c>
      <c r="BG28" s="12"/>
      <c r="BH28" s="12"/>
      <c r="BJ28" s="12"/>
      <c r="BK28" s="12"/>
      <c r="BL28" s="12"/>
      <c r="BM28" s="13">
        <v>140615.5</v>
      </c>
      <c r="BN28" s="9">
        <v>10.714378238341901</v>
      </c>
      <c r="BO28" s="9">
        <f t="shared" si="2"/>
        <v>0.68093722216915631</v>
      </c>
      <c r="BP28" s="9">
        <v>41.480950929594599</v>
      </c>
    </row>
    <row r="29" spans="1:68" ht="22.5" customHeight="1">
      <c r="A29" s="4">
        <v>28</v>
      </c>
      <c r="B29" s="5" t="s">
        <v>101</v>
      </c>
      <c r="C29" s="5" t="s">
        <v>102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T29" s="8">
        <v>125841.5</v>
      </c>
      <c r="U29" s="8">
        <v>63241</v>
      </c>
      <c r="V29" s="8"/>
      <c r="W29" s="8"/>
      <c r="X29" s="8"/>
      <c r="Y29" s="8"/>
      <c r="Z29" s="8"/>
      <c r="AA29" s="8"/>
      <c r="AB29" s="9">
        <f t="shared" si="0"/>
        <v>189082.5</v>
      </c>
      <c r="AC29" s="9">
        <v>189082.5</v>
      </c>
      <c r="AD29" s="6">
        <v>117431.43</v>
      </c>
      <c r="AE29" s="8">
        <v>0</v>
      </c>
      <c r="AF29" s="8">
        <v>-49642</v>
      </c>
      <c r="AG29" s="8">
        <v>0</v>
      </c>
      <c r="AH29" s="8">
        <v>0</v>
      </c>
      <c r="AI29" s="9">
        <v>67789.429999999993</v>
      </c>
      <c r="AJ29" s="11">
        <f t="shared" si="3"/>
        <v>0.35851773696666794</v>
      </c>
      <c r="AK29" s="9"/>
      <c r="AL29" s="11"/>
      <c r="AM29" s="6">
        <f t="shared" si="1"/>
        <v>63241</v>
      </c>
      <c r="AN29" s="12"/>
      <c r="AO29" s="12"/>
      <c r="AP29" s="12"/>
      <c r="AQ29" s="12"/>
      <c r="AR29" s="12">
        <v>275411.5</v>
      </c>
      <c r="AS29" s="13">
        <v>275411.5</v>
      </c>
      <c r="AT29" s="12"/>
      <c r="AU29" s="12"/>
      <c r="AV29" s="12">
        <v>260465</v>
      </c>
      <c r="AW29" s="12"/>
      <c r="AX29" s="13">
        <v>260465</v>
      </c>
      <c r="AY29" s="12"/>
      <c r="AZ29" s="12"/>
      <c r="BA29" s="12"/>
      <c r="BB29" s="12"/>
      <c r="BC29" s="12">
        <v>5083</v>
      </c>
      <c r="BD29" s="13">
        <v>5083</v>
      </c>
      <c r="BE29" s="12">
        <v>60113</v>
      </c>
      <c r="BF29" s="12">
        <v>109755</v>
      </c>
      <c r="BG29" s="12"/>
      <c r="BH29" s="12"/>
      <c r="BJ29" s="12"/>
      <c r="BK29" s="12"/>
      <c r="BL29" s="12"/>
      <c r="BM29" s="13">
        <v>60113</v>
      </c>
      <c r="BN29" s="9">
        <v>11.826283690733799</v>
      </c>
      <c r="BO29" s="9">
        <f t="shared" si="2"/>
        <v>0.68654540569293587</v>
      </c>
      <c r="BP29" s="9">
        <v>54.182864450127802</v>
      </c>
    </row>
    <row r="30" spans="1:68" ht="22.5" customHeight="1">
      <c r="A30" s="4">
        <v>29</v>
      </c>
      <c r="B30" s="5" t="s">
        <v>103</v>
      </c>
      <c r="C30" s="5" t="s">
        <v>104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>
        <v>38859</v>
      </c>
      <c r="S30" s="6">
        <v>29746.5</v>
      </c>
      <c r="T30" s="8"/>
      <c r="U30" s="8"/>
      <c r="V30" s="8"/>
      <c r="W30" s="8"/>
      <c r="X30" s="8"/>
      <c r="Y30" s="8"/>
      <c r="Z30" s="8"/>
      <c r="AA30" s="8"/>
      <c r="AB30" s="9">
        <f t="shared" si="0"/>
        <v>68605.5</v>
      </c>
      <c r="AC30" s="9">
        <v>68605.5</v>
      </c>
      <c r="AD30" s="6">
        <v>9377.75</v>
      </c>
      <c r="AE30" s="8">
        <v>1537.5</v>
      </c>
      <c r="AF30" s="8">
        <v>0</v>
      </c>
      <c r="AG30" s="8">
        <v>0</v>
      </c>
      <c r="AH30" s="8">
        <v>0</v>
      </c>
      <c r="AI30" s="9">
        <v>10915.25</v>
      </c>
      <c r="AJ30" s="11">
        <f t="shared" si="3"/>
        <v>0.15910167552164184</v>
      </c>
      <c r="AK30" s="9"/>
      <c r="AL30" s="11"/>
      <c r="AM30" s="6">
        <f t="shared" si="1"/>
        <v>29746.5</v>
      </c>
      <c r="AN30" s="12"/>
      <c r="AO30" s="12"/>
      <c r="AP30" s="12"/>
      <c r="AQ30" s="12"/>
      <c r="AR30" s="12"/>
      <c r="AS30" s="13">
        <v>0</v>
      </c>
      <c r="AT30" s="12"/>
      <c r="AU30" s="12">
        <v>79453</v>
      </c>
      <c r="AV30" s="12"/>
      <c r="AW30" s="12"/>
      <c r="AX30" s="13">
        <v>79453</v>
      </c>
      <c r="AY30" s="12"/>
      <c r="AZ30" s="12"/>
      <c r="BA30" s="12"/>
      <c r="BB30" s="12">
        <v>1692.5</v>
      </c>
      <c r="BC30" s="12"/>
      <c r="BD30" s="13">
        <v>1692.5</v>
      </c>
      <c r="BE30" s="12"/>
      <c r="BF30" s="12"/>
      <c r="BG30" s="12"/>
      <c r="BH30" s="12"/>
      <c r="BI30" s="12">
        <v>13304.5</v>
      </c>
      <c r="BJ30" s="12">
        <v>11767</v>
      </c>
      <c r="BK30" s="12"/>
      <c r="BL30" s="12"/>
      <c r="BM30" s="13">
        <v>13304.5</v>
      </c>
      <c r="BN30" s="9">
        <v>7.8608567208271696</v>
      </c>
      <c r="BO30" s="9">
        <f t="shared" si="2"/>
        <v>0</v>
      </c>
      <c r="BP30" s="9">
        <v>0</v>
      </c>
    </row>
    <row r="31" spans="1:68" ht="22.5" customHeight="1">
      <c r="A31" s="4">
        <v>30</v>
      </c>
      <c r="B31" s="5" t="s">
        <v>103</v>
      </c>
      <c r="C31" s="5" t="s">
        <v>105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T31" s="8">
        <v>100899.45</v>
      </c>
      <c r="U31" s="8">
        <v>67393.5</v>
      </c>
      <c r="V31" s="8"/>
      <c r="W31" s="8"/>
      <c r="X31" s="8" t="s">
        <v>106</v>
      </c>
      <c r="Y31" s="8"/>
      <c r="Z31" s="8"/>
      <c r="AA31" s="8"/>
      <c r="AB31" s="9">
        <f>G31+H31+J31+L31+M31+N31+O31+P31+R31+S31+T31+U31+V31+Z31+AA31</f>
        <v>168292.95</v>
      </c>
      <c r="AC31" s="9">
        <v>168292.95</v>
      </c>
      <c r="AD31" s="6">
        <v>142508.01999999999</v>
      </c>
      <c r="AE31" s="8">
        <v>0</v>
      </c>
      <c r="AF31" s="8">
        <v>-23491.5</v>
      </c>
      <c r="AG31" s="8">
        <v>0</v>
      </c>
      <c r="AH31" s="8">
        <v>0</v>
      </c>
      <c r="AI31" s="9">
        <v>119016.519999999</v>
      </c>
      <c r="AJ31" s="11">
        <f t="shared" si="3"/>
        <v>0.7071984893009422</v>
      </c>
      <c r="AK31" s="9"/>
      <c r="AL31" s="11"/>
      <c r="AM31" s="6">
        <f t="shared" si="1"/>
        <v>67393.5</v>
      </c>
      <c r="AN31" s="12"/>
      <c r="AO31" s="12"/>
      <c r="AP31" s="12"/>
      <c r="AQ31" s="12"/>
      <c r="AR31" s="12">
        <v>274303</v>
      </c>
      <c r="AS31" s="13">
        <v>274303</v>
      </c>
      <c r="AT31" s="12"/>
      <c r="AU31" s="12"/>
      <c r="AV31" s="12">
        <v>199626.5</v>
      </c>
      <c r="AW31" s="12"/>
      <c r="AX31" s="13">
        <v>199626.5</v>
      </c>
      <c r="AY31" s="12"/>
      <c r="AZ31" s="12"/>
      <c r="BA31" s="12"/>
      <c r="BB31" s="12"/>
      <c r="BC31" s="12">
        <v>9402</v>
      </c>
      <c r="BD31" s="13">
        <v>9402</v>
      </c>
      <c r="BE31" s="12">
        <v>112229.5</v>
      </c>
      <c r="BF31" s="12">
        <v>135721</v>
      </c>
      <c r="BG31" s="12"/>
      <c r="BH31" s="12"/>
      <c r="BJ31" s="12"/>
      <c r="BK31" s="12"/>
      <c r="BL31" s="12"/>
      <c r="BM31" s="13">
        <v>112229.5</v>
      </c>
      <c r="BN31" s="9">
        <v>11.9367687726015</v>
      </c>
      <c r="BO31" s="9">
        <f t="shared" si="2"/>
        <v>0.61352938174208815</v>
      </c>
      <c r="BP31" s="9">
        <v>29.174962773877802</v>
      </c>
    </row>
    <row r="32" spans="1:68" ht="22.5" customHeight="1">
      <c r="A32" s="4">
        <v>31</v>
      </c>
      <c r="B32" s="5" t="s">
        <v>103</v>
      </c>
      <c r="C32" s="5" t="s">
        <v>107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T32" s="8">
        <v>3268.5</v>
      </c>
      <c r="U32" s="8">
        <v>8432</v>
      </c>
      <c r="V32" s="8"/>
      <c r="W32" s="8"/>
      <c r="X32" s="8"/>
      <c r="Y32" s="8"/>
      <c r="Z32" s="8"/>
      <c r="AA32" s="8"/>
      <c r="AB32" s="9">
        <f t="shared" ref="AB32:AB49" si="4">G32+H32+J32+L32+M32+N32+O32+P32+R32+S32+T32+U32+V32+X32+Z32+AA32</f>
        <v>11700.5</v>
      </c>
      <c r="AC32" s="9">
        <v>11700.5</v>
      </c>
      <c r="AD32" s="6">
        <v>17228.275000000001</v>
      </c>
      <c r="AE32" s="8">
        <v>0</v>
      </c>
      <c r="AF32" s="8">
        <v>-10868</v>
      </c>
      <c r="AG32" s="8">
        <v>0</v>
      </c>
      <c r="AH32" s="8">
        <v>0</v>
      </c>
      <c r="AI32" s="9">
        <v>6360.2749999999996</v>
      </c>
      <c r="AJ32" s="11">
        <f t="shared" si="3"/>
        <v>0.54359001752061875</v>
      </c>
      <c r="AK32" s="9"/>
      <c r="AL32" s="11"/>
      <c r="AM32" s="6">
        <f t="shared" si="1"/>
        <v>8432</v>
      </c>
      <c r="AN32" s="12"/>
      <c r="AO32" s="12"/>
      <c r="AP32" s="12"/>
      <c r="AQ32" s="12"/>
      <c r="AR32" s="12">
        <v>14412</v>
      </c>
      <c r="AS32" s="13">
        <v>14412</v>
      </c>
      <c r="AT32" s="12"/>
      <c r="AU32" s="12"/>
      <c r="AV32" s="12">
        <v>10715</v>
      </c>
      <c r="AW32" s="12"/>
      <c r="AX32" s="13">
        <v>10715</v>
      </c>
      <c r="AY32" s="12"/>
      <c r="AZ32" s="12"/>
      <c r="BA32" s="12"/>
      <c r="BB32" s="12"/>
      <c r="BC32" s="12">
        <v>180.5</v>
      </c>
      <c r="BD32" s="13">
        <v>180.5</v>
      </c>
      <c r="BE32" s="12">
        <v>1335.5</v>
      </c>
      <c r="BF32" s="12">
        <v>12203.5</v>
      </c>
      <c r="BG32" s="12"/>
      <c r="BH32" s="12"/>
      <c r="BJ32" s="12"/>
      <c r="BK32" s="12"/>
      <c r="BL32" s="12"/>
      <c r="BM32" s="13">
        <v>1335.5</v>
      </c>
      <c r="BN32" s="9">
        <v>7.3988919667589998</v>
      </c>
      <c r="BO32" s="9">
        <f t="shared" si="2"/>
        <v>0.81185817374410219</v>
      </c>
      <c r="BP32" s="9">
        <v>79.844875346260395</v>
      </c>
    </row>
    <row r="33" spans="1:68" ht="22.5" customHeight="1">
      <c r="A33" s="4">
        <v>32</v>
      </c>
      <c r="B33" s="5" t="s">
        <v>103</v>
      </c>
      <c r="C33" s="5" t="s">
        <v>108</v>
      </c>
      <c r="D33" s="6"/>
      <c r="E33" s="6"/>
      <c r="F33" s="6"/>
      <c r="G33" s="6"/>
      <c r="H33" s="6">
        <v>31215.45</v>
      </c>
      <c r="I33" s="6">
        <v>1587.6849999999999</v>
      </c>
      <c r="J33" s="6">
        <v>19749.349999999999</v>
      </c>
      <c r="K33" s="6">
        <v>1358.915</v>
      </c>
      <c r="L33" s="6"/>
      <c r="M33" s="6">
        <v>1964.7</v>
      </c>
      <c r="N33" s="6">
        <v>40365.800000000003</v>
      </c>
      <c r="O33" s="6"/>
      <c r="P33" s="6"/>
      <c r="Q33" s="6"/>
      <c r="R33" s="6"/>
      <c r="T33" s="8"/>
      <c r="U33" s="8"/>
      <c r="V33" s="8"/>
      <c r="W33" s="8"/>
      <c r="X33" s="8"/>
      <c r="Y33" s="8"/>
      <c r="Z33" s="8"/>
      <c r="AA33" s="8"/>
      <c r="AB33" s="9">
        <f t="shared" si="4"/>
        <v>93295.3</v>
      </c>
      <c r="AC33" s="9">
        <v>90106.5052</v>
      </c>
      <c r="AD33" s="6">
        <v>11255.5</v>
      </c>
      <c r="AE33" s="8">
        <v>0</v>
      </c>
      <c r="AF33" s="8">
        <v>0</v>
      </c>
      <c r="AG33" s="8">
        <v>11943</v>
      </c>
      <c r="AH33" s="8">
        <v>0</v>
      </c>
      <c r="AI33" s="9">
        <v>23198.5</v>
      </c>
      <c r="AJ33" s="11">
        <f t="shared" si="3"/>
        <v>0.24865668474188946</v>
      </c>
      <c r="AK33" s="9"/>
      <c r="AL33" s="11"/>
      <c r="AM33" s="6">
        <f t="shared" si="1"/>
        <v>1964.7</v>
      </c>
      <c r="AN33" s="12"/>
      <c r="AO33" s="12">
        <v>117942.5</v>
      </c>
      <c r="AP33" s="12"/>
      <c r="AQ33" s="12"/>
      <c r="AR33" s="12"/>
      <c r="AS33" s="13">
        <v>117942.5</v>
      </c>
      <c r="AT33" s="12"/>
      <c r="AU33" s="12"/>
      <c r="AV33" s="12"/>
      <c r="AW33" s="12">
        <v>113000.5</v>
      </c>
      <c r="AX33" s="13">
        <v>113000.5</v>
      </c>
      <c r="AY33" s="12"/>
      <c r="AZ33" s="12">
        <v>2603</v>
      </c>
      <c r="BA33" s="12"/>
      <c r="BB33" s="12"/>
      <c r="BC33" s="12"/>
      <c r="BD33" s="13">
        <v>2603</v>
      </c>
      <c r="BE33" s="12"/>
      <c r="BF33" s="12"/>
      <c r="BG33" s="12">
        <v>10943</v>
      </c>
      <c r="BH33" s="12">
        <v>2981</v>
      </c>
      <c r="BJ33" s="12"/>
      <c r="BK33" s="12"/>
      <c r="BL33" s="12"/>
      <c r="BM33" s="13">
        <v>10943</v>
      </c>
      <c r="BN33" s="9">
        <v>4.2039953899346898</v>
      </c>
      <c r="BO33" s="9">
        <f t="shared" si="2"/>
        <v>0.7910235920045785</v>
      </c>
      <c r="BP33" s="9">
        <v>45.3102189781021</v>
      </c>
    </row>
    <row r="34" spans="1:68" ht="22.5" hidden="1" customHeight="1">
      <c r="A34" s="4">
        <v>33</v>
      </c>
      <c r="B34" s="5" t="s">
        <v>109</v>
      </c>
      <c r="C34" s="5" t="s">
        <v>110</v>
      </c>
      <c r="D34" s="6">
        <v>0</v>
      </c>
      <c r="E34" s="6">
        <v>7.5</v>
      </c>
      <c r="F34" s="6">
        <v>0</v>
      </c>
      <c r="G34" s="6">
        <v>7.5</v>
      </c>
      <c r="H34" s="6"/>
      <c r="I34" s="6"/>
      <c r="J34" s="6">
        <v>0</v>
      </c>
      <c r="K34" s="6">
        <v>0</v>
      </c>
      <c r="L34" s="6"/>
      <c r="M34" s="6"/>
      <c r="N34" s="6"/>
      <c r="O34" s="6"/>
      <c r="P34" s="6"/>
      <c r="Q34" s="6"/>
      <c r="R34" s="6"/>
      <c r="T34" s="8"/>
      <c r="U34" s="8"/>
      <c r="V34" s="8"/>
      <c r="W34" s="8"/>
      <c r="X34" s="8"/>
      <c r="Y34" s="8"/>
      <c r="Z34" s="8">
        <v>0</v>
      </c>
      <c r="AA34" s="8"/>
      <c r="AB34" s="9">
        <f t="shared" si="4"/>
        <v>7.5</v>
      </c>
      <c r="AC34" s="9">
        <v>7.4550000000000001</v>
      </c>
      <c r="AE34" s="8">
        <v>0</v>
      </c>
      <c r="AF34" s="8">
        <v>0</v>
      </c>
      <c r="AG34" s="8">
        <v>-1064.25</v>
      </c>
      <c r="AH34" s="8">
        <v>0</v>
      </c>
      <c r="AI34" s="9">
        <v>-1064.25</v>
      </c>
      <c r="AJ34" s="11">
        <f t="shared" si="3"/>
        <v>-141.9</v>
      </c>
      <c r="AK34" s="9"/>
      <c r="AL34" s="11"/>
      <c r="AM34" s="6">
        <f t="shared" si="1"/>
        <v>0</v>
      </c>
      <c r="AN34" s="12">
        <v>1568.5</v>
      </c>
      <c r="AO34" s="12"/>
      <c r="AP34" s="12"/>
      <c r="AQ34" s="12"/>
      <c r="AR34" s="12"/>
      <c r="AS34" s="13">
        <v>1568.5</v>
      </c>
      <c r="AT34" s="12">
        <v>0</v>
      </c>
      <c r="AU34" s="12"/>
      <c r="AV34" s="12"/>
      <c r="AW34" s="12"/>
      <c r="AX34" s="13">
        <v>0</v>
      </c>
      <c r="AY34" s="12">
        <v>45.5</v>
      </c>
      <c r="AZ34" s="12"/>
      <c r="BA34" s="12"/>
      <c r="BB34" s="12"/>
      <c r="BC34" s="12"/>
      <c r="BD34" s="13">
        <v>45.5</v>
      </c>
      <c r="BE34" s="12"/>
      <c r="BF34" s="12"/>
      <c r="BG34" s="12">
        <v>153</v>
      </c>
      <c r="BH34" s="12">
        <v>862.5</v>
      </c>
      <c r="BJ34" s="12"/>
      <c r="BK34" s="12">
        <v>0</v>
      </c>
      <c r="BL34" s="12">
        <v>0</v>
      </c>
      <c r="BM34" s="13">
        <v>153</v>
      </c>
      <c r="BN34" s="9">
        <v>3.36263736263736</v>
      </c>
      <c r="BO34" s="9">
        <f t="shared" si="2"/>
        <v>4.7816385081287851E-3</v>
      </c>
      <c r="BP34" s="9">
        <v>34.472527472527403</v>
      </c>
    </row>
    <row r="35" spans="1:68" ht="22.5" hidden="1" customHeight="1">
      <c r="A35" s="4">
        <v>34</v>
      </c>
      <c r="B35" s="5" t="s">
        <v>109</v>
      </c>
      <c r="C35" s="5" t="s">
        <v>111</v>
      </c>
      <c r="D35" s="6"/>
      <c r="E35" s="6"/>
      <c r="F35" s="6"/>
      <c r="G35" s="6"/>
      <c r="H35" s="6"/>
      <c r="I35" s="6"/>
      <c r="J35" s="6">
        <v>0</v>
      </c>
      <c r="K35" s="6">
        <v>0</v>
      </c>
      <c r="L35" s="6"/>
      <c r="M35" s="6"/>
      <c r="N35" s="6"/>
      <c r="O35" s="6"/>
      <c r="P35" s="6"/>
      <c r="Q35" s="6"/>
      <c r="R35" s="6"/>
      <c r="T35" s="8"/>
      <c r="U35" s="8"/>
      <c r="V35" s="8"/>
      <c r="W35" s="8"/>
      <c r="X35" s="8"/>
      <c r="Y35" s="8"/>
      <c r="Z35" s="8"/>
      <c r="AA35" s="8">
        <v>-1287.25</v>
      </c>
      <c r="AB35" s="9">
        <f t="shared" si="4"/>
        <v>-1287.25</v>
      </c>
      <c r="AC35" s="9">
        <v>-1287.25</v>
      </c>
      <c r="AE35" s="8">
        <v>0</v>
      </c>
      <c r="AF35" s="8">
        <v>0</v>
      </c>
      <c r="AG35" s="8">
        <v>-439.5</v>
      </c>
      <c r="AH35" s="8">
        <v>0</v>
      </c>
      <c r="AI35" s="9">
        <v>-439.5</v>
      </c>
      <c r="AJ35" s="11">
        <f t="shared" si="3"/>
        <v>0.34142551951835309</v>
      </c>
      <c r="AK35" s="9"/>
      <c r="AL35" s="11"/>
      <c r="AM35" s="6">
        <f t="shared" si="1"/>
        <v>0</v>
      </c>
      <c r="AN35" s="12"/>
      <c r="AO35" s="12"/>
      <c r="AP35" s="12"/>
      <c r="AQ35" s="12"/>
      <c r="AR35" s="12"/>
      <c r="AS35" s="13">
        <v>0</v>
      </c>
      <c r="AT35" s="12"/>
      <c r="AU35" s="12"/>
      <c r="AV35" s="12"/>
      <c r="AW35" s="12"/>
      <c r="AX35" s="13">
        <v>0</v>
      </c>
      <c r="AY35" s="12"/>
      <c r="AZ35" s="12"/>
      <c r="BA35" s="12"/>
      <c r="BB35" s="12"/>
      <c r="BC35" s="12"/>
      <c r="BD35" s="13">
        <v>0</v>
      </c>
      <c r="BE35" s="12"/>
      <c r="BF35" s="12"/>
      <c r="BG35" s="12">
        <v>56</v>
      </c>
      <c r="BH35" s="12">
        <v>349</v>
      </c>
      <c r="BJ35" s="12"/>
      <c r="BK35" s="12"/>
      <c r="BL35" s="12"/>
      <c r="BM35" s="13">
        <v>56</v>
      </c>
      <c r="BN35" s="9"/>
      <c r="BO35" s="9">
        <f t="shared" si="2"/>
        <v>0</v>
      </c>
      <c r="BP35" s="9"/>
    </row>
    <row r="36" spans="1:68" ht="22.5" hidden="1" customHeight="1">
      <c r="A36" s="4">
        <v>35</v>
      </c>
      <c r="B36" s="5" t="s">
        <v>109</v>
      </c>
      <c r="C36" s="5" t="s">
        <v>112</v>
      </c>
      <c r="D36" s="6"/>
      <c r="E36" s="6"/>
      <c r="F36" s="6"/>
      <c r="G36" s="6"/>
      <c r="H36" s="6"/>
      <c r="I36" s="6" t="s">
        <v>106</v>
      </c>
      <c r="J36" s="6">
        <v>0</v>
      </c>
      <c r="K36" s="6">
        <v>0</v>
      </c>
      <c r="L36" s="6"/>
      <c r="M36" s="6"/>
      <c r="N36" s="6"/>
      <c r="O36" s="6"/>
      <c r="P36" s="6"/>
      <c r="Q36" s="6"/>
      <c r="R36" s="6"/>
      <c r="T36" s="8"/>
      <c r="U36" s="8"/>
      <c r="V36" s="8"/>
      <c r="W36" s="8"/>
      <c r="X36" s="8"/>
      <c r="Y36" s="8"/>
      <c r="Z36" s="8"/>
      <c r="AA36" s="8"/>
      <c r="AB36" s="9">
        <f t="shared" si="4"/>
        <v>0</v>
      </c>
      <c r="AC36" s="9">
        <v>0</v>
      </c>
      <c r="AE36" s="8">
        <v>0</v>
      </c>
      <c r="AF36" s="8">
        <v>0</v>
      </c>
      <c r="AG36" s="8">
        <v>0</v>
      </c>
      <c r="AH36" s="8">
        <v>0</v>
      </c>
      <c r="AI36" s="9">
        <v>0</v>
      </c>
      <c r="AJ36" s="11">
        <f t="shared" si="3"/>
        <v>0</v>
      </c>
      <c r="AK36" s="9"/>
      <c r="AL36" s="11"/>
      <c r="AM36" s="6">
        <f t="shared" si="1"/>
        <v>0</v>
      </c>
      <c r="AN36" s="12"/>
      <c r="AO36" s="12"/>
      <c r="AP36" s="12"/>
      <c r="AQ36" s="12"/>
      <c r="AR36" s="12"/>
      <c r="AS36" s="13">
        <v>0</v>
      </c>
      <c r="AT36" s="12"/>
      <c r="AU36" s="12"/>
      <c r="AV36" s="12"/>
      <c r="AW36" s="12"/>
      <c r="AX36" s="13">
        <v>0</v>
      </c>
      <c r="AY36" s="12"/>
      <c r="AZ36" s="12"/>
      <c r="BA36" s="12"/>
      <c r="BB36" s="12"/>
      <c r="BC36" s="12"/>
      <c r="BD36" s="13">
        <v>0</v>
      </c>
      <c r="BE36" s="12"/>
      <c r="BF36" s="12"/>
      <c r="BG36" s="12"/>
      <c r="BH36" s="12"/>
      <c r="BJ36" s="12"/>
      <c r="BK36" s="12"/>
      <c r="BL36" s="12"/>
      <c r="BM36" s="13">
        <v>0</v>
      </c>
      <c r="BN36" s="9"/>
      <c r="BO36" s="9">
        <f t="shared" si="2"/>
        <v>0</v>
      </c>
      <c r="BP36" s="9"/>
    </row>
    <row r="37" spans="1:68" ht="22.5" hidden="1" customHeight="1">
      <c r="A37" s="4">
        <v>36</v>
      </c>
      <c r="B37" s="5" t="s">
        <v>109</v>
      </c>
      <c r="C37" s="5" t="s">
        <v>113</v>
      </c>
      <c r="D37" s="6">
        <v>0</v>
      </c>
      <c r="E37" s="6">
        <v>0</v>
      </c>
      <c r="F37" s="6">
        <v>0</v>
      </c>
      <c r="G37" s="6">
        <v>0</v>
      </c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T37" s="8"/>
      <c r="U37" s="8"/>
      <c r="V37" s="8"/>
      <c r="W37" s="8"/>
      <c r="X37" s="8"/>
      <c r="Y37" s="8"/>
      <c r="Z37" s="8">
        <v>-62.975000000000001</v>
      </c>
      <c r="AA37" s="8"/>
      <c r="AB37" s="9">
        <f t="shared" si="4"/>
        <v>-62.975000000000001</v>
      </c>
      <c r="AC37" s="9">
        <v>-62.975000000000001</v>
      </c>
      <c r="AE37" s="8">
        <v>0</v>
      </c>
      <c r="AF37" s="8">
        <v>0</v>
      </c>
      <c r="AG37" s="8">
        <v>0</v>
      </c>
      <c r="AH37" s="8">
        <v>0</v>
      </c>
      <c r="AI37" s="9">
        <v>0</v>
      </c>
      <c r="AJ37" s="11">
        <f t="shared" si="3"/>
        <v>0</v>
      </c>
      <c r="AK37" s="9"/>
      <c r="AL37" s="11"/>
      <c r="AM37" s="6">
        <f t="shared" si="1"/>
        <v>0</v>
      </c>
      <c r="AN37" s="12">
        <v>0</v>
      </c>
      <c r="AO37" s="12"/>
      <c r="AP37" s="12"/>
      <c r="AQ37" s="12"/>
      <c r="AR37" s="12"/>
      <c r="AS37" s="13">
        <v>0</v>
      </c>
      <c r="AT37" s="12">
        <v>0</v>
      </c>
      <c r="AU37" s="12"/>
      <c r="AV37" s="12"/>
      <c r="AW37" s="12"/>
      <c r="AX37" s="13">
        <v>0</v>
      </c>
      <c r="AY37" s="12">
        <v>0</v>
      </c>
      <c r="AZ37" s="12"/>
      <c r="BA37" s="12"/>
      <c r="BB37" s="12"/>
      <c r="BC37" s="12"/>
      <c r="BD37" s="13">
        <v>0</v>
      </c>
      <c r="BE37" s="12"/>
      <c r="BF37" s="12"/>
      <c r="BG37" s="12"/>
      <c r="BH37" s="12"/>
      <c r="BJ37" s="12"/>
      <c r="BK37" s="12">
        <v>0</v>
      </c>
      <c r="BL37" s="12">
        <v>0</v>
      </c>
      <c r="BM37" s="13">
        <v>0</v>
      </c>
      <c r="BN37" s="9"/>
      <c r="BO37" s="9">
        <f t="shared" si="2"/>
        <v>0</v>
      </c>
      <c r="BP37" s="9"/>
    </row>
    <row r="38" spans="1:68" ht="22.5" hidden="1" customHeight="1">
      <c r="A38" s="4">
        <v>37</v>
      </c>
      <c r="B38" s="5" t="s">
        <v>109</v>
      </c>
      <c r="C38" s="5" t="s">
        <v>114</v>
      </c>
      <c r="D38" s="6">
        <v>0</v>
      </c>
      <c r="E38" s="6">
        <v>0</v>
      </c>
      <c r="F38" s="6">
        <v>0</v>
      </c>
      <c r="G38" s="6">
        <v>0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T38" s="8"/>
      <c r="U38" s="8"/>
      <c r="V38" s="8"/>
      <c r="W38" s="8"/>
      <c r="X38" s="8"/>
      <c r="Y38" s="8"/>
      <c r="Z38" s="8">
        <v>0</v>
      </c>
      <c r="AA38" s="8"/>
      <c r="AB38" s="9">
        <f t="shared" si="4"/>
        <v>0</v>
      </c>
      <c r="AC38" s="9">
        <v>0</v>
      </c>
      <c r="AE38" s="8">
        <v>0</v>
      </c>
      <c r="AF38" s="8">
        <v>0</v>
      </c>
      <c r="AG38" s="8">
        <v>0</v>
      </c>
      <c r="AH38" s="8">
        <v>0</v>
      </c>
      <c r="AI38" s="9">
        <v>0</v>
      </c>
      <c r="AJ38" s="11">
        <f t="shared" si="3"/>
        <v>0</v>
      </c>
      <c r="AK38" s="9"/>
      <c r="AL38" s="11"/>
      <c r="AM38" s="6">
        <f t="shared" si="1"/>
        <v>0</v>
      </c>
      <c r="AN38" s="12">
        <v>0</v>
      </c>
      <c r="AO38" s="12"/>
      <c r="AP38" s="12"/>
      <c r="AQ38" s="12"/>
      <c r="AR38" s="12"/>
      <c r="AS38" s="13">
        <v>0</v>
      </c>
      <c r="AT38" s="12">
        <v>0</v>
      </c>
      <c r="AU38" s="12"/>
      <c r="AV38" s="12"/>
      <c r="AW38" s="12"/>
      <c r="AX38" s="13">
        <v>0</v>
      </c>
      <c r="AY38" s="12">
        <v>0</v>
      </c>
      <c r="AZ38" s="12"/>
      <c r="BA38" s="12"/>
      <c r="BB38" s="12"/>
      <c r="BC38" s="12"/>
      <c r="BD38" s="13">
        <v>0</v>
      </c>
      <c r="BE38" s="12"/>
      <c r="BF38" s="12"/>
      <c r="BG38" s="12"/>
      <c r="BH38" s="12"/>
      <c r="BJ38" s="12"/>
      <c r="BK38" s="12">
        <v>0</v>
      </c>
      <c r="BL38" s="12">
        <v>0</v>
      </c>
      <c r="BM38" s="13">
        <v>0</v>
      </c>
      <c r="BN38" s="9"/>
      <c r="BO38" s="9">
        <f t="shared" si="2"/>
        <v>0</v>
      </c>
      <c r="BP38" s="9"/>
    </row>
    <row r="39" spans="1:68" ht="22.5" hidden="1" customHeight="1">
      <c r="A39" s="4">
        <v>38</v>
      </c>
      <c r="B39" s="5" t="s">
        <v>109</v>
      </c>
      <c r="C39" s="5" t="s">
        <v>115</v>
      </c>
      <c r="D39" s="6">
        <v>0</v>
      </c>
      <c r="E39" s="6">
        <v>0</v>
      </c>
      <c r="F39" s="6">
        <v>0</v>
      </c>
      <c r="G39" s="6">
        <v>0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T39" s="8"/>
      <c r="U39" s="8"/>
      <c r="V39" s="8"/>
      <c r="W39" s="8"/>
      <c r="X39" s="8"/>
      <c r="Y39" s="8"/>
      <c r="Z39" s="8">
        <v>0</v>
      </c>
      <c r="AA39" s="8"/>
      <c r="AB39" s="9">
        <f t="shared" si="4"/>
        <v>0</v>
      </c>
      <c r="AC39" s="9">
        <v>0</v>
      </c>
      <c r="AE39" s="8">
        <v>0</v>
      </c>
      <c r="AF39" s="8">
        <v>0</v>
      </c>
      <c r="AG39" s="8">
        <v>0</v>
      </c>
      <c r="AH39" s="8">
        <v>0</v>
      </c>
      <c r="AI39" s="9">
        <v>0</v>
      </c>
      <c r="AJ39" s="11">
        <f t="shared" si="3"/>
        <v>0</v>
      </c>
      <c r="AK39" s="9"/>
      <c r="AL39" s="11"/>
      <c r="AM39" s="6">
        <f t="shared" si="1"/>
        <v>0</v>
      </c>
      <c r="AN39" s="12">
        <v>0</v>
      </c>
      <c r="AO39" s="12"/>
      <c r="AP39" s="12"/>
      <c r="AQ39" s="12"/>
      <c r="AR39" s="12"/>
      <c r="AS39" s="13">
        <v>0</v>
      </c>
      <c r="AT39" s="12">
        <v>0</v>
      </c>
      <c r="AU39" s="12"/>
      <c r="AV39" s="12"/>
      <c r="AW39" s="12"/>
      <c r="AX39" s="13">
        <v>0</v>
      </c>
      <c r="AY39" s="12">
        <v>0</v>
      </c>
      <c r="AZ39" s="12"/>
      <c r="BA39" s="12"/>
      <c r="BB39" s="12"/>
      <c r="BC39" s="12"/>
      <c r="BD39" s="13">
        <v>0</v>
      </c>
      <c r="BE39" s="12"/>
      <c r="BF39" s="12"/>
      <c r="BG39" s="12"/>
      <c r="BH39" s="12"/>
      <c r="BJ39" s="12"/>
      <c r="BK39" s="12">
        <v>0</v>
      </c>
      <c r="BL39" s="12">
        <v>0</v>
      </c>
      <c r="BM39" s="13">
        <v>0</v>
      </c>
      <c r="BN39" s="9"/>
      <c r="BO39" s="9">
        <f t="shared" si="2"/>
        <v>0</v>
      </c>
      <c r="BP39" s="9"/>
    </row>
    <row r="40" spans="1:68" ht="22.5" hidden="1" customHeight="1">
      <c r="A40" s="4">
        <v>39</v>
      </c>
      <c r="B40" s="5" t="s">
        <v>109</v>
      </c>
      <c r="C40" s="5" t="s">
        <v>116</v>
      </c>
      <c r="D40" s="6">
        <v>0</v>
      </c>
      <c r="E40" s="6">
        <v>0</v>
      </c>
      <c r="F40" s="6">
        <v>0</v>
      </c>
      <c r="G40" s="6">
        <v>0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T40" s="8"/>
      <c r="U40" s="8"/>
      <c r="V40" s="8"/>
      <c r="W40" s="8"/>
      <c r="X40" s="8"/>
      <c r="Y40" s="8"/>
      <c r="Z40" s="8">
        <v>0</v>
      </c>
      <c r="AA40" s="8"/>
      <c r="AB40" s="9">
        <f t="shared" si="4"/>
        <v>0</v>
      </c>
      <c r="AC40" s="9">
        <v>0</v>
      </c>
      <c r="AE40" s="8">
        <v>0</v>
      </c>
      <c r="AF40" s="8">
        <v>0</v>
      </c>
      <c r="AG40" s="8">
        <v>0</v>
      </c>
      <c r="AH40" s="8">
        <v>0</v>
      </c>
      <c r="AI40" s="9">
        <v>0</v>
      </c>
      <c r="AJ40" s="11">
        <f t="shared" si="3"/>
        <v>0</v>
      </c>
      <c r="AK40" s="9"/>
      <c r="AL40" s="11"/>
      <c r="AM40" s="6">
        <f t="shared" si="1"/>
        <v>0</v>
      </c>
      <c r="AN40" s="12">
        <v>0</v>
      </c>
      <c r="AO40" s="12"/>
      <c r="AP40" s="12"/>
      <c r="AQ40" s="12"/>
      <c r="AR40" s="12"/>
      <c r="AS40" s="13">
        <v>0</v>
      </c>
      <c r="AT40" s="12">
        <v>0</v>
      </c>
      <c r="AU40" s="12"/>
      <c r="AV40" s="12"/>
      <c r="AW40" s="12"/>
      <c r="AX40" s="13">
        <v>0</v>
      </c>
      <c r="AY40" s="12">
        <v>0</v>
      </c>
      <c r="AZ40" s="12"/>
      <c r="BA40" s="12"/>
      <c r="BB40" s="12"/>
      <c r="BC40" s="12"/>
      <c r="BD40" s="13">
        <v>0</v>
      </c>
      <c r="BE40" s="12"/>
      <c r="BF40" s="12"/>
      <c r="BG40" s="12"/>
      <c r="BH40" s="12"/>
      <c r="BJ40" s="12"/>
      <c r="BK40" s="12">
        <v>0</v>
      </c>
      <c r="BL40" s="12">
        <v>0</v>
      </c>
      <c r="BM40" s="13">
        <v>0</v>
      </c>
      <c r="BN40" s="9"/>
      <c r="BO40" s="9">
        <f t="shared" si="2"/>
        <v>0</v>
      </c>
      <c r="BP40" s="9"/>
    </row>
    <row r="41" spans="1:68" ht="22.5" hidden="1" customHeight="1">
      <c r="A41" s="4">
        <v>40</v>
      </c>
      <c r="B41" s="5" t="s">
        <v>109</v>
      </c>
      <c r="C41" s="5" t="s">
        <v>117</v>
      </c>
      <c r="D41" s="6">
        <v>0</v>
      </c>
      <c r="E41" s="6">
        <v>0</v>
      </c>
      <c r="F41" s="6">
        <v>0</v>
      </c>
      <c r="G41" s="6">
        <v>0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T41" s="8"/>
      <c r="U41" s="8"/>
      <c r="V41" s="8"/>
      <c r="W41" s="8"/>
      <c r="X41" s="8"/>
      <c r="Y41" s="8"/>
      <c r="Z41" s="8">
        <v>0</v>
      </c>
      <c r="AA41" s="8"/>
      <c r="AB41" s="9">
        <f t="shared" si="4"/>
        <v>0</v>
      </c>
      <c r="AC41" s="9">
        <v>0</v>
      </c>
      <c r="AE41" s="8">
        <v>0</v>
      </c>
      <c r="AF41" s="8">
        <v>0</v>
      </c>
      <c r="AG41" s="8">
        <v>0</v>
      </c>
      <c r="AH41" s="8">
        <v>0</v>
      </c>
      <c r="AI41" s="9">
        <v>0</v>
      </c>
      <c r="AJ41" s="11">
        <f t="shared" si="3"/>
        <v>0</v>
      </c>
      <c r="AK41" s="9"/>
      <c r="AL41" s="11"/>
      <c r="AM41" s="6">
        <f t="shared" si="1"/>
        <v>0</v>
      </c>
      <c r="AN41" s="12">
        <v>0</v>
      </c>
      <c r="AO41" s="12"/>
      <c r="AP41" s="12"/>
      <c r="AQ41" s="12"/>
      <c r="AR41" s="12"/>
      <c r="AS41" s="13">
        <v>0</v>
      </c>
      <c r="AT41" s="12">
        <v>0</v>
      </c>
      <c r="AU41" s="12"/>
      <c r="AV41" s="12"/>
      <c r="AW41" s="12"/>
      <c r="AX41" s="13">
        <v>0</v>
      </c>
      <c r="AY41" s="12">
        <v>0</v>
      </c>
      <c r="AZ41" s="12"/>
      <c r="BA41" s="12"/>
      <c r="BB41" s="12"/>
      <c r="BC41" s="12"/>
      <c r="BD41" s="13">
        <v>0</v>
      </c>
      <c r="BE41" s="12"/>
      <c r="BF41" s="12"/>
      <c r="BG41" s="12"/>
      <c r="BH41" s="12"/>
      <c r="BJ41" s="12"/>
      <c r="BK41" s="12">
        <v>0</v>
      </c>
      <c r="BL41" s="12">
        <v>0</v>
      </c>
      <c r="BM41" s="13">
        <v>0</v>
      </c>
      <c r="BN41" s="9"/>
      <c r="BO41" s="9">
        <f t="shared" si="2"/>
        <v>0</v>
      </c>
      <c r="BP41" s="9"/>
    </row>
    <row r="42" spans="1:68" ht="22.5" hidden="1" customHeight="1">
      <c r="A42" s="4">
        <v>41</v>
      </c>
      <c r="B42" s="5" t="s">
        <v>109</v>
      </c>
      <c r="C42" s="5" t="s">
        <v>118</v>
      </c>
      <c r="D42" s="6">
        <v>0</v>
      </c>
      <c r="E42" s="6">
        <v>0</v>
      </c>
      <c r="F42" s="6">
        <v>0</v>
      </c>
      <c r="G42" s="6">
        <v>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T42" s="8"/>
      <c r="U42" s="8"/>
      <c r="V42" s="8"/>
      <c r="W42" s="8"/>
      <c r="X42" s="8"/>
      <c r="Y42" s="8"/>
      <c r="Z42" s="8">
        <v>0</v>
      </c>
      <c r="AA42" s="8"/>
      <c r="AB42" s="9">
        <f t="shared" si="4"/>
        <v>0</v>
      </c>
      <c r="AC42" s="9">
        <v>0</v>
      </c>
      <c r="AE42" s="8">
        <v>0</v>
      </c>
      <c r="AF42" s="8">
        <v>0</v>
      </c>
      <c r="AG42" s="8">
        <v>0</v>
      </c>
      <c r="AH42" s="8">
        <v>0</v>
      </c>
      <c r="AI42" s="9">
        <v>0</v>
      </c>
      <c r="AJ42" s="11">
        <f t="shared" si="3"/>
        <v>0</v>
      </c>
      <c r="AK42" s="9"/>
      <c r="AL42" s="11"/>
      <c r="AM42" s="6">
        <f t="shared" si="1"/>
        <v>0</v>
      </c>
      <c r="AN42" s="12">
        <v>12.5</v>
      </c>
      <c r="AO42" s="12"/>
      <c r="AP42" s="12"/>
      <c r="AQ42" s="12"/>
      <c r="AR42" s="12"/>
      <c r="AS42" s="13">
        <v>12.5</v>
      </c>
      <c r="AT42" s="12">
        <v>0</v>
      </c>
      <c r="AU42" s="12"/>
      <c r="AV42" s="12"/>
      <c r="AW42" s="12"/>
      <c r="AX42" s="13">
        <v>0</v>
      </c>
      <c r="AY42" s="12">
        <v>3</v>
      </c>
      <c r="AZ42" s="12"/>
      <c r="BA42" s="12"/>
      <c r="BB42" s="12"/>
      <c r="BC42" s="12"/>
      <c r="BD42" s="13">
        <v>3</v>
      </c>
      <c r="BE42" s="12"/>
      <c r="BF42" s="12"/>
      <c r="BG42" s="12"/>
      <c r="BH42" s="12"/>
      <c r="BJ42" s="12"/>
      <c r="BK42" s="12">
        <v>0</v>
      </c>
      <c r="BL42" s="12">
        <v>0</v>
      </c>
      <c r="BM42" s="13">
        <v>0</v>
      </c>
      <c r="BN42" s="9">
        <v>0</v>
      </c>
      <c r="BO42" s="9">
        <f t="shared" si="2"/>
        <v>0</v>
      </c>
      <c r="BP42" s="9">
        <v>4.1666666666666599</v>
      </c>
    </row>
    <row r="43" spans="1:68" ht="22.5" hidden="1" customHeight="1">
      <c r="A43" s="4">
        <v>42</v>
      </c>
      <c r="B43" s="5" t="s">
        <v>109</v>
      </c>
      <c r="C43" s="5" t="s">
        <v>119</v>
      </c>
      <c r="D43" s="6">
        <v>0</v>
      </c>
      <c r="E43" s="6">
        <v>0</v>
      </c>
      <c r="F43" s="6">
        <v>0</v>
      </c>
      <c r="G43" s="6">
        <v>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T43" s="8"/>
      <c r="U43" s="8"/>
      <c r="V43" s="8"/>
      <c r="W43" s="8"/>
      <c r="X43" s="8"/>
      <c r="Y43" s="8"/>
      <c r="Z43" s="8">
        <v>0</v>
      </c>
      <c r="AA43" s="8"/>
      <c r="AB43" s="9">
        <f t="shared" si="4"/>
        <v>0</v>
      </c>
      <c r="AC43" s="9">
        <v>0</v>
      </c>
      <c r="AE43" s="8">
        <v>0</v>
      </c>
      <c r="AF43" s="8">
        <v>0</v>
      </c>
      <c r="AG43" s="8">
        <v>0</v>
      </c>
      <c r="AH43" s="8">
        <v>0</v>
      </c>
      <c r="AI43" s="9">
        <v>0</v>
      </c>
      <c r="AJ43" s="11">
        <f t="shared" si="3"/>
        <v>0</v>
      </c>
      <c r="AK43" s="9"/>
      <c r="AL43" s="11"/>
      <c r="AM43" s="6">
        <f t="shared" si="1"/>
        <v>0</v>
      </c>
      <c r="AN43" s="12">
        <v>0</v>
      </c>
      <c r="AO43" s="12"/>
      <c r="AP43" s="12"/>
      <c r="AQ43" s="12"/>
      <c r="AR43" s="12"/>
      <c r="AS43" s="13">
        <v>0</v>
      </c>
      <c r="AT43" s="12">
        <v>0</v>
      </c>
      <c r="AU43" s="12"/>
      <c r="AV43" s="12"/>
      <c r="AW43" s="12"/>
      <c r="AX43" s="13">
        <v>0</v>
      </c>
      <c r="AY43" s="12">
        <v>0</v>
      </c>
      <c r="AZ43" s="12"/>
      <c r="BA43" s="12"/>
      <c r="BB43" s="12"/>
      <c r="BC43" s="12"/>
      <c r="BD43" s="13">
        <v>0</v>
      </c>
      <c r="BE43" s="12"/>
      <c r="BF43" s="12"/>
      <c r="BG43" s="12"/>
      <c r="BH43" s="12"/>
      <c r="BJ43" s="12"/>
      <c r="BK43" s="12">
        <v>0</v>
      </c>
      <c r="BL43" s="12">
        <v>0</v>
      </c>
      <c r="BM43" s="13">
        <v>0</v>
      </c>
      <c r="BN43" s="9"/>
      <c r="BO43" s="9">
        <f t="shared" si="2"/>
        <v>0</v>
      </c>
      <c r="BP43" s="9"/>
    </row>
    <row r="44" spans="1:68" ht="22.5" hidden="1" customHeight="1">
      <c r="A44" s="4">
        <v>43</v>
      </c>
      <c r="B44" s="5" t="s">
        <v>109</v>
      </c>
      <c r="C44" s="5" t="s">
        <v>120</v>
      </c>
      <c r="D44" s="6">
        <v>0</v>
      </c>
      <c r="E44" s="6">
        <v>0</v>
      </c>
      <c r="F44" s="6">
        <v>0</v>
      </c>
      <c r="G44" s="6">
        <v>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T44" s="8"/>
      <c r="U44" s="8"/>
      <c r="V44" s="8"/>
      <c r="W44" s="8"/>
      <c r="X44" s="8"/>
      <c r="Y44" s="8"/>
      <c r="Z44" s="8">
        <v>0</v>
      </c>
      <c r="AA44" s="8"/>
      <c r="AB44" s="9">
        <f t="shared" si="4"/>
        <v>0</v>
      </c>
      <c r="AC44" s="9">
        <v>0</v>
      </c>
      <c r="AE44" s="8">
        <v>0</v>
      </c>
      <c r="AF44" s="8">
        <v>0</v>
      </c>
      <c r="AG44" s="8">
        <v>0</v>
      </c>
      <c r="AH44" s="8">
        <v>0</v>
      </c>
      <c r="AI44" s="9">
        <v>0</v>
      </c>
      <c r="AJ44" s="11">
        <f t="shared" si="3"/>
        <v>0</v>
      </c>
      <c r="AK44" s="9"/>
      <c r="AL44" s="11"/>
      <c r="AM44" s="6">
        <f t="shared" si="1"/>
        <v>0</v>
      </c>
      <c r="AN44" s="12">
        <v>0</v>
      </c>
      <c r="AO44" s="12"/>
      <c r="AP44" s="12"/>
      <c r="AQ44" s="12"/>
      <c r="AR44" s="12"/>
      <c r="AS44" s="13">
        <v>0</v>
      </c>
      <c r="AT44" s="12">
        <v>0</v>
      </c>
      <c r="AU44" s="12"/>
      <c r="AV44" s="12"/>
      <c r="AW44" s="12"/>
      <c r="AX44" s="13">
        <v>0</v>
      </c>
      <c r="AY44" s="12">
        <v>0</v>
      </c>
      <c r="AZ44" s="12"/>
      <c r="BA44" s="12"/>
      <c r="BB44" s="12"/>
      <c r="BC44" s="12"/>
      <c r="BD44" s="13">
        <v>0</v>
      </c>
      <c r="BE44" s="12"/>
      <c r="BF44" s="12"/>
      <c r="BG44" s="12"/>
      <c r="BH44" s="12"/>
      <c r="BJ44" s="12"/>
      <c r="BK44" s="12">
        <v>0</v>
      </c>
      <c r="BL44" s="12">
        <v>0</v>
      </c>
      <c r="BM44" s="13">
        <v>0</v>
      </c>
      <c r="BN44" s="9"/>
      <c r="BO44" s="9">
        <f t="shared" si="2"/>
        <v>0</v>
      </c>
      <c r="BP44" s="9"/>
    </row>
    <row r="45" spans="1:68" ht="22.5" hidden="1" customHeight="1">
      <c r="A45" s="4">
        <v>44</v>
      </c>
      <c r="B45" s="5" t="s">
        <v>109</v>
      </c>
      <c r="C45" s="5" t="s">
        <v>121</v>
      </c>
      <c r="D45" s="6">
        <v>0</v>
      </c>
      <c r="E45" s="6">
        <v>0</v>
      </c>
      <c r="F45" s="6">
        <v>0</v>
      </c>
      <c r="G45" s="6">
        <v>0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T45" s="8"/>
      <c r="U45" s="8"/>
      <c r="V45" s="8"/>
      <c r="W45" s="8"/>
      <c r="X45" s="8"/>
      <c r="Y45" s="8"/>
      <c r="Z45" s="8">
        <v>0</v>
      </c>
      <c r="AA45" s="8"/>
      <c r="AB45" s="9">
        <f t="shared" si="4"/>
        <v>0</v>
      </c>
      <c r="AC45" s="9">
        <v>0</v>
      </c>
      <c r="AE45" s="8">
        <v>0</v>
      </c>
      <c r="AF45" s="8">
        <v>0</v>
      </c>
      <c r="AG45" s="8">
        <v>0</v>
      </c>
      <c r="AH45" s="8">
        <v>0</v>
      </c>
      <c r="AI45" s="9">
        <v>0</v>
      </c>
      <c r="AJ45" s="11">
        <f t="shared" si="3"/>
        <v>0</v>
      </c>
      <c r="AK45" s="9"/>
      <c r="AL45" s="11"/>
      <c r="AM45" s="6">
        <f t="shared" si="1"/>
        <v>0</v>
      </c>
      <c r="AN45" s="12">
        <v>0</v>
      </c>
      <c r="AO45" s="12"/>
      <c r="AP45" s="12"/>
      <c r="AQ45" s="12"/>
      <c r="AR45" s="12"/>
      <c r="AS45" s="13">
        <v>0</v>
      </c>
      <c r="AT45" s="12">
        <v>0</v>
      </c>
      <c r="AU45" s="12"/>
      <c r="AV45" s="12"/>
      <c r="AW45" s="12"/>
      <c r="AX45" s="13">
        <v>0</v>
      </c>
      <c r="AY45" s="12">
        <v>0</v>
      </c>
      <c r="AZ45" s="12"/>
      <c r="BA45" s="12"/>
      <c r="BB45" s="12"/>
      <c r="BC45" s="12"/>
      <c r="BD45" s="13">
        <v>0</v>
      </c>
      <c r="BE45" s="12"/>
      <c r="BF45" s="12"/>
      <c r="BG45" s="12"/>
      <c r="BH45" s="12"/>
      <c r="BJ45" s="12"/>
      <c r="BK45" s="12">
        <v>0</v>
      </c>
      <c r="BL45" s="12">
        <v>0</v>
      </c>
      <c r="BM45" s="13">
        <v>0</v>
      </c>
      <c r="BN45" s="9"/>
      <c r="BO45" s="9">
        <f t="shared" si="2"/>
        <v>0</v>
      </c>
      <c r="BP45" s="9"/>
    </row>
    <row r="46" spans="1:68" ht="22.5" hidden="1" customHeight="1">
      <c r="A46" s="4">
        <v>45</v>
      </c>
      <c r="B46" s="5" t="s">
        <v>109</v>
      </c>
      <c r="C46" s="5" t="s">
        <v>122</v>
      </c>
      <c r="D46" s="6">
        <v>0</v>
      </c>
      <c r="E46" s="6">
        <v>0</v>
      </c>
      <c r="F46" s="6">
        <v>0</v>
      </c>
      <c r="G46" s="6">
        <v>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T46" s="8"/>
      <c r="U46" s="8"/>
      <c r="V46" s="8"/>
      <c r="W46" s="8"/>
      <c r="X46" s="8"/>
      <c r="Y46" s="8"/>
      <c r="Z46" s="8">
        <v>0</v>
      </c>
      <c r="AA46" s="8"/>
      <c r="AB46" s="9">
        <f t="shared" si="4"/>
        <v>0</v>
      </c>
      <c r="AC46" s="9">
        <v>0</v>
      </c>
      <c r="AE46" s="8">
        <v>0</v>
      </c>
      <c r="AF46" s="8">
        <v>0</v>
      </c>
      <c r="AG46" s="8">
        <v>0</v>
      </c>
      <c r="AH46" s="8">
        <v>0</v>
      </c>
      <c r="AI46" s="9">
        <v>0</v>
      </c>
      <c r="AJ46" s="11">
        <f t="shared" si="3"/>
        <v>0</v>
      </c>
      <c r="AK46" s="9"/>
      <c r="AL46" s="11"/>
      <c r="AM46" s="6">
        <f t="shared" si="1"/>
        <v>0</v>
      </c>
      <c r="AN46" s="12">
        <v>0</v>
      </c>
      <c r="AO46" s="12"/>
      <c r="AP46" s="12"/>
      <c r="AQ46" s="12"/>
      <c r="AR46" s="12"/>
      <c r="AS46" s="13">
        <v>0</v>
      </c>
      <c r="AT46" s="12">
        <v>0</v>
      </c>
      <c r="AU46" s="12"/>
      <c r="AV46" s="12"/>
      <c r="AW46" s="12"/>
      <c r="AX46" s="13">
        <v>0</v>
      </c>
      <c r="AY46" s="12">
        <v>0</v>
      </c>
      <c r="AZ46" s="12"/>
      <c r="BA46" s="12"/>
      <c r="BB46" s="12"/>
      <c r="BC46" s="12"/>
      <c r="BD46" s="13">
        <v>0</v>
      </c>
      <c r="BE46" s="12"/>
      <c r="BF46" s="12"/>
      <c r="BG46" s="12"/>
      <c r="BH46" s="12"/>
      <c r="BJ46" s="12"/>
      <c r="BK46" s="12">
        <v>0</v>
      </c>
      <c r="BL46" s="12">
        <v>0</v>
      </c>
      <c r="BM46" s="13">
        <v>0</v>
      </c>
      <c r="BN46" s="9"/>
      <c r="BO46" s="9">
        <f t="shared" si="2"/>
        <v>0</v>
      </c>
      <c r="BP46" s="9"/>
    </row>
    <row r="47" spans="1:68" ht="22.5" hidden="1" customHeight="1">
      <c r="A47" s="4">
        <v>46</v>
      </c>
      <c r="B47" s="5" t="s">
        <v>109</v>
      </c>
      <c r="C47" s="5" t="s">
        <v>123</v>
      </c>
      <c r="D47" s="6">
        <v>0</v>
      </c>
      <c r="E47" s="6">
        <v>0</v>
      </c>
      <c r="F47" s="6">
        <v>0</v>
      </c>
      <c r="G47" s="6">
        <v>0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T47" s="8"/>
      <c r="U47" s="8"/>
      <c r="V47" s="8"/>
      <c r="W47" s="8"/>
      <c r="X47" s="8"/>
      <c r="Y47" s="8"/>
      <c r="Z47" s="8">
        <v>0</v>
      </c>
      <c r="AA47" s="8"/>
      <c r="AB47" s="9">
        <f t="shared" si="4"/>
        <v>0</v>
      </c>
      <c r="AC47" s="9">
        <v>0</v>
      </c>
      <c r="AE47" s="8">
        <v>0</v>
      </c>
      <c r="AF47" s="8">
        <v>0</v>
      </c>
      <c r="AG47" s="8">
        <v>0</v>
      </c>
      <c r="AH47" s="8">
        <v>0</v>
      </c>
      <c r="AI47" s="9">
        <v>0</v>
      </c>
      <c r="AJ47" s="11">
        <f t="shared" si="3"/>
        <v>0</v>
      </c>
      <c r="AK47" s="9"/>
      <c r="AL47" s="11"/>
      <c r="AM47" s="6">
        <f t="shared" si="1"/>
        <v>0</v>
      </c>
      <c r="AN47" s="12">
        <v>8735.5</v>
      </c>
      <c r="AO47" s="12"/>
      <c r="AP47" s="12"/>
      <c r="AQ47" s="12"/>
      <c r="AR47" s="12"/>
      <c r="AS47" s="13">
        <v>8735.5</v>
      </c>
      <c r="AT47" s="12">
        <v>0</v>
      </c>
      <c r="AU47" s="12"/>
      <c r="AV47" s="12"/>
      <c r="AW47" s="12"/>
      <c r="AX47" s="13">
        <v>0</v>
      </c>
      <c r="AY47" s="12">
        <v>105.5</v>
      </c>
      <c r="AZ47" s="12"/>
      <c r="BA47" s="12"/>
      <c r="BB47" s="12"/>
      <c r="BC47" s="12"/>
      <c r="BD47" s="13">
        <v>105.5</v>
      </c>
      <c r="BE47" s="12"/>
      <c r="BF47" s="12"/>
      <c r="BG47" s="12"/>
      <c r="BH47" s="12"/>
      <c r="BJ47" s="12"/>
      <c r="BK47" s="12">
        <v>0</v>
      </c>
      <c r="BL47" s="12">
        <v>0</v>
      </c>
      <c r="BM47" s="13">
        <v>0</v>
      </c>
      <c r="BN47" s="9">
        <v>0</v>
      </c>
      <c r="BO47" s="9">
        <f t="shared" si="2"/>
        <v>0</v>
      </c>
      <c r="BP47" s="9">
        <v>82.800947867298504</v>
      </c>
    </row>
    <row r="48" spans="1:68" ht="22.5" hidden="1" customHeight="1">
      <c r="A48" s="4">
        <v>47</v>
      </c>
      <c r="B48" s="5" t="s">
        <v>109</v>
      </c>
      <c r="C48" s="5" t="s">
        <v>124</v>
      </c>
      <c r="D48" s="6">
        <v>0</v>
      </c>
      <c r="E48" s="6">
        <v>0</v>
      </c>
      <c r="F48" s="6">
        <v>0</v>
      </c>
      <c r="G48" s="6">
        <v>0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T48" s="8"/>
      <c r="U48" s="8"/>
      <c r="V48" s="8"/>
      <c r="W48" s="8"/>
      <c r="X48" s="8"/>
      <c r="Y48" s="8"/>
      <c r="Z48" s="8">
        <v>0</v>
      </c>
      <c r="AA48" s="8"/>
      <c r="AB48" s="9">
        <f t="shared" si="4"/>
        <v>0</v>
      </c>
      <c r="AC48" s="9">
        <v>0</v>
      </c>
      <c r="AE48" s="8">
        <v>0</v>
      </c>
      <c r="AF48" s="8">
        <v>0</v>
      </c>
      <c r="AG48" s="8">
        <v>0</v>
      </c>
      <c r="AH48" s="8">
        <v>0</v>
      </c>
      <c r="AI48" s="9">
        <v>0</v>
      </c>
      <c r="AJ48" s="11">
        <f t="shared" si="3"/>
        <v>0</v>
      </c>
      <c r="AK48" s="9"/>
      <c r="AL48" s="11"/>
      <c r="AM48" s="6">
        <f t="shared" si="1"/>
        <v>0</v>
      </c>
      <c r="AN48" s="12">
        <v>1053</v>
      </c>
      <c r="AO48" s="12"/>
      <c r="AP48" s="12"/>
      <c r="AQ48" s="12"/>
      <c r="AR48" s="12"/>
      <c r="AS48" s="13">
        <v>1053</v>
      </c>
      <c r="AT48" s="12">
        <v>0</v>
      </c>
      <c r="AU48" s="12"/>
      <c r="AV48" s="12"/>
      <c r="AW48" s="12"/>
      <c r="AX48" s="13">
        <v>0</v>
      </c>
      <c r="AY48" s="12">
        <v>0</v>
      </c>
      <c r="AZ48" s="12"/>
      <c r="BA48" s="12"/>
      <c r="BB48" s="12"/>
      <c r="BC48" s="12"/>
      <c r="BD48" s="13">
        <v>0</v>
      </c>
      <c r="BE48" s="12"/>
      <c r="BF48" s="12"/>
      <c r="BG48" s="12"/>
      <c r="BH48" s="12"/>
      <c r="BJ48" s="12"/>
      <c r="BK48" s="12">
        <v>0</v>
      </c>
      <c r="BL48" s="12">
        <v>0</v>
      </c>
      <c r="BM48" s="13">
        <v>0</v>
      </c>
      <c r="BN48" s="9"/>
      <c r="BO48" s="9">
        <f t="shared" si="2"/>
        <v>0</v>
      </c>
      <c r="BP48" s="9"/>
    </row>
    <row r="49" spans="1:68" ht="22.5" hidden="1" customHeight="1">
      <c r="A49" s="4">
        <v>48</v>
      </c>
      <c r="B49" s="5" t="s">
        <v>109</v>
      </c>
      <c r="C49" s="5" t="s">
        <v>125</v>
      </c>
      <c r="D49" s="6">
        <v>0</v>
      </c>
      <c r="E49" s="6">
        <v>0</v>
      </c>
      <c r="F49" s="6">
        <v>0</v>
      </c>
      <c r="G49" s="6">
        <v>0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T49" s="8"/>
      <c r="U49" s="8"/>
      <c r="V49" s="8"/>
      <c r="W49" s="8"/>
      <c r="X49" s="8"/>
      <c r="Y49" s="8"/>
      <c r="Z49" s="8">
        <v>0</v>
      </c>
      <c r="AA49" s="8"/>
      <c r="AB49" s="9">
        <f t="shared" si="4"/>
        <v>0</v>
      </c>
      <c r="AC49" s="9">
        <v>0</v>
      </c>
      <c r="AE49" s="8">
        <v>0</v>
      </c>
      <c r="AF49" s="8">
        <v>0</v>
      </c>
      <c r="AG49" s="8">
        <v>0</v>
      </c>
      <c r="AH49" s="8">
        <v>0</v>
      </c>
      <c r="AI49" s="9">
        <v>0</v>
      </c>
      <c r="AJ49" s="11">
        <f t="shared" si="3"/>
        <v>0</v>
      </c>
      <c r="AK49" s="9"/>
      <c r="AL49" s="11"/>
      <c r="AM49" s="6">
        <f t="shared" si="1"/>
        <v>0</v>
      </c>
      <c r="AN49" s="12">
        <v>0</v>
      </c>
      <c r="AO49" s="12"/>
      <c r="AP49" s="12"/>
      <c r="AQ49" s="12"/>
      <c r="AR49" s="12"/>
      <c r="AS49" s="13">
        <v>0</v>
      </c>
      <c r="AT49" s="12">
        <v>0</v>
      </c>
      <c r="AU49" s="12"/>
      <c r="AV49" s="12"/>
      <c r="AW49" s="12"/>
      <c r="AX49" s="13">
        <v>0</v>
      </c>
      <c r="AY49" s="12">
        <v>0</v>
      </c>
      <c r="AZ49" s="12"/>
      <c r="BA49" s="12"/>
      <c r="BB49" s="12"/>
      <c r="BC49" s="12"/>
      <c r="BD49" s="13">
        <v>0</v>
      </c>
      <c r="BE49" s="12"/>
      <c r="BF49" s="12"/>
      <c r="BG49" s="12"/>
      <c r="BH49" s="12"/>
      <c r="BJ49" s="12"/>
      <c r="BK49" s="12">
        <v>0</v>
      </c>
      <c r="BL49" s="12">
        <v>0</v>
      </c>
      <c r="BM49" s="13">
        <v>0</v>
      </c>
      <c r="BN49" s="9"/>
      <c r="BO49" s="9">
        <f t="shared" si="2"/>
        <v>0</v>
      </c>
      <c r="BP49" s="9"/>
    </row>
    <row r="50" spans="1:68" ht="22.5" customHeight="1">
      <c r="A50" s="4"/>
      <c r="B50" s="22"/>
      <c r="C50" s="22" t="s">
        <v>126</v>
      </c>
      <c r="D50" s="23">
        <f t="shared" ref="D50:AC50" si="5">SUM(D2:D49)</f>
        <v>21034.25</v>
      </c>
      <c r="E50" s="23">
        <f t="shared" si="5"/>
        <v>130723.95000000001</v>
      </c>
      <c r="F50" s="23">
        <f t="shared" si="5"/>
        <v>37497.4</v>
      </c>
      <c r="G50" s="23">
        <f t="shared" si="5"/>
        <v>189255.6</v>
      </c>
      <c r="H50" s="23">
        <f t="shared" si="5"/>
        <v>449271.815</v>
      </c>
      <c r="I50" s="23">
        <f t="shared" si="5"/>
        <v>22635.86</v>
      </c>
      <c r="J50" s="23">
        <f t="shared" si="5"/>
        <v>337547.75000000006</v>
      </c>
      <c r="K50" s="23">
        <f t="shared" si="5"/>
        <v>19975.409999999996</v>
      </c>
      <c r="L50" s="23">
        <f t="shared" si="5"/>
        <v>6030.7</v>
      </c>
      <c r="M50" s="23">
        <f t="shared" si="5"/>
        <v>22165.05</v>
      </c>
      <c r="N50" s="23">
        <f t="shared" si="5"/>
        <v>422004.27499999997</v>
      </c>
      <c r="O50" s="23">
        <f t="shared" si="5"/>
        <v>1732.4749999999999</v>
      </c>
      <c r="P50" s="23">
        <f t="shared" si="5"/>
        <v>151.5</v>
      </c>
      <c r="Q50" s="23">
        <f t="shared" si="5"/>
        <v>10.625</v>
      </c>
      <c r="R50" s="23">
        <f t="shared" si="5"/>
        <v>155581.5</v>
      </c>
      <c r="S50" s="23">
        <f t="shared" si="5"/>
        <v>108036.5</v>
      </c>
      <c r="T50" s="23">
        <f t="shared" si="5"/>
        <v>415658.25</v>
      </c>
      <c r="U50" s="23">
        <f t="shared" si="5"/>
        <v>785770.8</v>
      </c>
      <c r="V50" s="23">
        <f t="shared" si="5"/>
        <v>18604</v>
      </c>
      <c r="W50" s="23">
        <f t="shared" si="5"/>
        <v>268.89</v>
      </c>
      <c r="X50" s="23">
        <f t="shared" si="5"/>
        <v>3909.5</v>
      </c>
      <c r="Y50" s="23">
        <f t="shared" si="5"/>
        <v>0</v>
      </c>
      <c r="Z50" s="23">
        <f t="shared" si="5"/>
        <v>2.1316282072803006E-14</v>
      </c>
      <c r="AA50" s="23">
        <f t="shared" si="5"/>
        <v>14655.81</v>
      </c>
      <c r="AB50" s="23">
        <f t="shared" si="5"/>
        <v>2930375.5249999999</v>
      </c>
      <c r="AC50" s="23">
        <f t="shared" si="5"/>
        <v>2883907.2020500004</v>
      </c>
      <c r="AD50" s="23">
        <f t="shared" ref="AD50:AI50" si="6">SUM(AD2:AD49)</f>
        <v>1281003.5799999998</v>
      </c>
      <c r="AE50" s="23">
        <f t="shared" si="6"/>
        <v>18348.5</v>
      </c>
      <c r="AF50" s="23">
        <f t="shared" si="6"/>
        <v>8658.5</v>
      </c>
      <c r="AG50" s="23">
        <f t="shared" si="6"/>
        <v>-46266</v>
      </c>
      <c r="AH50" s="23">
        <f t="shared" si="6"/>
        <v>2414.25</v>
      </c>
      <c r="AI50" s="23">
        <f t="shared" si="6"/>
        <v>1264158.8299999989</v>
      </c>
      <c r="AJ50" s="46">
        <f>IFERROR(AI50/AB50,0)</f>
        <v>0.43139823521423892</v>
      </c>
      <c r="AK50" s="23">
        <v>0</v>
      </c>
      <c r="AL50" s="46">
        <v>0</v>
      </c>
      <c r="AM50" s="23">
        <f t="shared" ref="AM50:AS50" si="7">SUM(AM2:AM49)</f>
        <v>937158.09999999986</v>
      </c>
      <c r="AN50" s="13">
        <f t="shared" si="7"/>
        <v>426754</v>
      </c>
      <c r="AO50" s="13">
        <f t="shared" si="7"/>
        <v>1779942</v>
      </c>
      <c r="AP50" s="13">
        <f t="shared" si="7"/>
        <v>168389.5</v>
      </c>
      <c r="AQ50" s="13">
        <f t="shared" si="7"/>
        <v>0</v>
      </c>
      <c r="AR50" s="13">
        <f t="shared" si="7"/>
        <v>1716105</v>
      </c>
      <c r="AS50" s="13">
        <f t="shared" si="7"/>
        <v>4091190.5</v>
      </c>
      <c r="AT50" s="13">
        <f t="shared" ref="AT50:BM50" si="8">SUM(AT2:AT49)</f>
        <v>927802.5</v>
      </c>
      <c r="AU50" s="13">
        <f t="shared" si="8"/>
        <v>450461.5</v>
      </c>
      <c r="AV50" s="13">
        <f t="shared" si="8"/>
        <v>1523236</v>
      </c>
      <c r="AW50" s="13">
        <f t="shared" si="8"/>
        <v>3068324</v>
      </c>
      <c r="AX50" s="13">
        <f t="shared" si="8"/>
        <v>5969824</v>
      </c>
      <c r="AY50" s="13">
        <f t="shared" si="8"/>
        <v>10470.5</v>
      </c>
      <c r="AZ50" s="13">
        <f t="shared" si="8"/>
        <v>35145.5</v>
      </c>
      <c r="BA50" s="13">
        <f t="shared" si="8"/>
        <v>3726.5</v>
      </c>
      <c r="BB50" s="13">
        <f t="shared" si="8"/>
        <v>6742</v>
      </c>
      <c r="BC50" s="13">
        <f t="shared" si="8"/>
        <v>42733</v>
      </c>
      <c r="BD50" s="13">
        <f t="shared" si="8"/>
        <v>98817.5</v>
      </c>
      <c r="BE50" s="13">
        <f t="shared" si="8"/>
        <v>388737</v>
      </c>
      <c r="BF50" s="13">
        <f t="shared" si="8"/>
        <v>380078.5</v>
      </c>
      <c r="BG50" s="13">
        <f t="shared" si="8"/>
        <v>142941</v>
      </c>
      <c r="BH50" s="13">
        <f t="shared" si="8"/>
        <v>173785</v>
      </c>
      <c r="BI50" s="13">
        <f t="shared" si="8"/>
        <v>58869.82</v>
      </c>
      <c r="BJ50" s="13">
        <f t="shared" si="8"/>
        <v>40521.32</v>
      </c>
      <c r="BK50" s="13">
        <f t="shared" si="8"/>
        <v>6218.5</v>
      </c>
      <c r="BL50" s="13">
        <f t="shared" si="8"/>
        <v>4609</v>
      </c>
      <c r="BM50" s="13">
        <f t="shared" si="8"/>
        <v>596766.32000000007</v>
      </c>
      <c r="BN50" s="23">
        <v>6.0390752650087203</v>
      </c>
      <c r="BO50" s="23">
        <f>AB50/AS50</f>
        <v>0.71626474616618319</v>
      </c>
      <c r="BP50" s="23">
        <v>41.401477471095703</v>
      </c>
    </row>
    <row r="51" spans="1:68" ht="16.5" customHeight="1">
      <c r="U51" s="6"/>
      <c r="AZ51" s="12"/>
    </row>
    <row r="52" spans="1:68" ht="16.5" customHeight="1">
      <c r="U52" s="6"/>
      <c r="AZ52" s="12"/>
    </row>
    <row r="53" spans="1:68" ht="16.5" customHeight="1">
      <c r="U53" s="6"/>
      <c r="AZ53" s="12"/>
    </row>
    <row r="54" spans="1:68" ht="16.5" customHeight="1">
      <c r="U54" s="6"/>
      <c r="AZ54" s="12"/>
    </row>
    <row r="55" spans="1:68" ht="16.5" customHeight="1">
      <c r="U55" s="6"/>
      <c r="AZ55" s="12"/>
    </row>
    <row r="56" spans="1:68" ht="16.5" customHeight="1">
      <c r="U56" s="6"/>
      <c r="AZ56" s="12"/>
    </row>
    <row r="57" spans="1:68" ht="16.5" customHeight="1">
      <c r="U57" s="6"/>
      <c r="AZ57" s="12"/>
    </row>
    <row r="58" spans="1:68" ht="16.5" customHeight="1">
      <c r="U58" s="6"/>
      <c r="AZ58" s="12"/>
    </row>
    <row r="59" spans="1:68" ht="16.5" customHeight="1">
      <c r="U59" s="6"/>
      <c r="AZ59" s="12"/>
    </row>
    <row r="60" spans="1:68" ht="20.25" customHeight="1">
      <c r="A60" s="24"/>
      <c r="B60" s="25"/>
      <c r="C60" s="25"/>
      <c r="D60" s="26" t="s">
        <v>3</v>
      </c>
      <c r="E60" s="27" t="s">
        <v>4</v>
      </c>
      <c r="F60" s="27" t="s">
        <v>5</v>
      </c>
      <c r="G60" s="27" t="s">
        <v>6</v>
      </c>
      <c r="H60" s="27" t="s">
        <v>127</v>
      </c>
      <c r="I60" s="27"/>
      <c r="J60" s="27" t="s">
        <v>128</v>
      </c>
      <c r="K60" s="21"/>
      <c r="L60" s="27" t="s">
        <v>129</v>
      </c>
      <c r="M60" s="27" t="s">
        <v>12</v>
      </c>
      <c r="N60" s="27" t="s">
        <v>13</v>
      </c>
      <c r="O60" s="27" t="s">
        <v>14</v>
      </c>
      <c r="P60" s="27" t="s">
        <v>15</v>
      </c>
      <c r="Q60" s="36"/>
      <c r="R60" s="27" t="s">
        <v>17</v>
      </c>
      <c r="S60" s="37" t="s">
        <v>18</v>
      </c>
      <c r="T60" s="27" t="s">
        <v>19</v>
      </c>
      <c r="U60" s="27" t="s">
        <v>20</v>
      </c>
      <c r="V60" s="38" t="s">
        <v>21</v>
      </c>
      <c r="W60" s="38"/>
      <c r="X60" s="38" t="s">
        <v>23</v>
      </c>
      <c r="Y60" s="38"/>
      <c r="Z60" s="38"/>
      <c r="AA60" s="42"/>
      <c r="AB60" s="43" t="s">
        <v>126</v>
      </c>
      <c r="AZ60" s="12"/>
    </row>
    <row r="61" spans="1:68" ht="21.75" customHeight="1">
      <c r="A61" s="47" t="s">
        <v>130</v>
      </c>
      <c r="B61" s="48"/>
      <c r="C61" s="28" t="s">
        <v>131</v>
      </c>
      <c r="D61" s="29">
        <v>0</v>
      </c>
      <c r="E61" s="30">
        <f>E62*E63</f>
        <v>784.34370000000013</v>
      </c>
      <c r="F61" s="30">
        <f>F62*F63</f>
        <v>224.98440000000002</v>
      </c>
      <c r="G61" s="30">
        <f>SUM(D61:F61)</f>
        <v>1009.3281000000002</v>
      </c>
      <c r="H61" s="30">
        <f>I50</f>
        <v>22635.86</v>
      </c>
      <c r="I61" s="33"/>
      <c r="J61" s="34">
        <f>K50</f>
        <v>19975.409999999996</v>
      </c>
      <c r="K61" s="21"/>
      <c r="L61" s="30">
        <f>L62*L63</f>
        <v>36.184199999999997</v>
      </c>
      <c r="M61" s="30">
        <f>M62*M63</f>
        <v>0</v>
      </c>
      <c r="N61" s="30">
        <f>N62*N63</f>
        <v>2532.02565</v>
      </c>
      <c r="O61" s="30">
        <f>Q50</f>
        <v>10.625</v>
      </c>
      <c r="P61" s="30">
        <v>0</v>
      </c>
      <c r="Q61" s="39"/>
      <c r="R61" s="30">
        <f>R62*R63</f>
        <v>0</v>
      </c>
      <c r="S61" s="30">
        <f>S62*S63</f>
        <v>0</v>
      </c>
      <c r="T61" s="30">
        <f>T62*T63</f>
        <v>0</v>
      </c>
      <c r="U61" s="30">
        <f>U62*U63</f>
        <v>0</v>
      </c>
      <c r="V61" s="30">
        <f>W50</f>
        <v>268.89</v>
      </c>
      <c r="W61" s="30"/>
      <c r="X61" s="30">
        <v>0</v>
      </c>
      <c r="Y61" s="30"/>
      <c r="Z61" s="30"/>
      <c r="AA61" s="33"/>
      <c r="AB61" s="44">
        <f>SUM(G61:AA61)</f>
        <v>46468.322950000002</v>
      </c>
      <c r="AZ61" s="12"/>
    </row>
    <row r="62" spans="1:68" ht="21.75" customHeight="1">
      <c r="A62" s="49"/>
      <c r="B62" s="48"/>
      <c r="C62" s="28" t="s">
        <v>132</v>
      </c>
      <c r="D62" s="29">
        <f>D50</f>
        <v>21034.25</v>
      </c>
      <c r="E62" s="29">
        <f>E50</f>
        <v>130723.95000000001</v>
      </c>
      <c r="F62" s="29">
        <f>F50</f>
        <v>37497.4</v>
      </c>
      <c r="G62" s="29">
        <f>G50</f>
        <v>189255.6</v>
      </c>
      <c r="H62" s="29">
        <f>H50</f>
        <v>449271.815</v>
      </c>
      <c r="I62" s="33"/>
      <c r="J62" s="30">
        <f>J50</f>
        <v>337547.75000000006</v>
      </c>
      <c r="K62" s="21"/>
      <c r="L62" s="30">
        <f>L50</f>
        <v>6030.7</v>
      </c>
      <c r="M62" s="30">
        <f>M50</f>
        <v>22165.05</v>
      </c>
      <c r="N62" s="30">
        <f>N50</f>
        <v>422004.27499999997</v>
      </c>
      <c r="O62" s="30">
        <f>O50</f>
        <v>1732.4749999999999</v>
      </c>
      <c r="P62" s="30">
        <f>P50</f>
        <v>151.5</v>
      </c>
      <c r="Q62" s="39"/>
      <c r="R62" s="30">
        <f>R50</f>
        <v>155581.5</v>
      </c>
      <c r="S62" s="30">
        <f>S50</f>
        <v>108036.5</v>
      </c>
      <c r="T62" s="30">
        <f>T50</f>
        <v>415658.25</v>
      </c>
      <c r="U62" s="30">
        <f>U50</f>
        <v>785770.8</v>
      </c>
      <c r="V62" s="30">
        <f>V50</f>
        <v>18604</v>
      </c>
      <c r="W62" s="30"/>
      <c r="X62" s="30">
        <f>X50</f>
        <v>3909.5</v>
      </c>
      <c r="Y62" s="30"/>
      <c r="Z62" s="30">
        <f>Z50</f>
        <v>2.1316282072803006E-14</v>
      </c>
      <c r="AA62" s="30">
        <f>AA50</f>
        <v>14655.81</v>
      </c>
      <c r="AB62" s="44">
        <f>SUM(G62:AA62)</f>
        <v>2930375.5249999999</v>
      </c>
      <c r="AZ62" s="12"/>
    </row>
    <row r="63" spans="1:68" ht="21.75" customHeight="1">
      <c r="A63" s="49"/>
      <c r="B63" s="48"/>
      <c r="C63" s="28" t="s">
        <v>133</v>
      </c>
      <c r="D63" s="31">
        <v>0</v>
      </c>
      <c r="E63" s="32">
        <v>6.0000000000000001E-3</v>
      </c>
      <c r="F63" s="32">
        <v>6.0000000000000001E-3</v>
      </c>
      <c r="G63" s="32">
        <f>G61/G62</f>
        <v>5.3331478698648823E-3</v>
      </c>
      <c r="H63" s="32">
        <f>H61/H62</f>
        <v>5.0383441035578874E-2</v>
      </c>
      <c r="I63" s="35"/>
      <c r="J63" s="32">
        <f>J61/J62</f>
        <v>5.9178027405011567E-2</v>
      </c>
      <c r="K63" s="21"/>
      <c r="L63" s="32">
        <v>6.0000000000000001E-3</v>
      </c>
      <c r="M63" s="32">
        <v>0</v>
      </c>
      <c r="N63" s="32">
        <v>6.0000000000000001E-3</v>
      </c>
      <c r="O63" s="32">
        <f>O61/O62</f>
        <v>6.1328446297926383E-3</v>
      </c>
      <c r="P63" s="32">
        <v>0</v>
      </c>
      <c r="Q63" s="40"/>
      <c r="R63" s="32">
        <v>0</v>
      </c>
      <c r="S63" s="41">
        <v>0</v>
      </c>
      <c r="T63" s="32">
        <v>0</v>
      </c>
      <c r="U63" s="32">
        <v>0</v>
      </c>
      <c r="V63" s="32">
        <f>V61/V62</f>
        <v>1.4453343367017845E-2</v>
      </c>
      <c r="W63" s="41"/>
      <c r="X63" s="32">
        <f>X61/X62</f>
        <v>0</v>
      </c>
      <c r="Y63" s="41"/>
      <c r="Z63" s="41"/>
      <c r="AA63" s="35"/>
      <c r="AB63" s="45">
        <f>AB61/AB62</f>
        <v>1.5857463507172858E-2</v>
      </c>
      <c r="AZ63" s="12"/>
    </row>
    <row r="64" spans="1:68" ht="16.5" customHeight="1">
      <c r="U64" s="6"/>
      <c r="AZ64" s="12"/>
    </row>
    <row r="65" spans="1:52" ht="16.5" customHeight="1">
      <c r="U65" s="6"/>
      <c r="AZ65" s="12"/>
    </row>
    <row r="66" spans="1:52" ht="16.5" customHeight="1">
      <c r="U66" s="6"/>
      <c r="AZ66" s="12"/>
    </row>
    <row r="67" spans="1:52" ht="16.5" customHeight="1">
      <c r="U67" s="6"/>
      <c r="AZ67" s="12"/>
    </row>
    <row r="68" spans="1:52" ht="16.5" customHeight="1">
      <c r="N68" s="6"/>
      <c r="U68" s="6"/>
      <c r="AZ68" s="12"/>
    </row>
    <row r="69" spans="1:52" ht="16.5" customHeight="1">
      <c r="U69" s="6"/>
      <c r="AZ69" s="12"/>
    </row>
    <row r="70" spans="1:52" ht="16.5" customHeight="1">
      <c r="U70" s="6"/>
      <c r="AZ70" s="12"/>
    </row>
    <row r="71" spans="1:52" ht="16.5" customHeight="1">
      <c r="A71" s="50" t="s">
        <v>134</v>
      </c>
      <c r="B71" t="s">
        <v>136</v>
      </c>
      <c r="C71"/>
      <c r="G71" s="53"/>
      <c r="H71" s="52"/>
      <c r="U71" s="6"/>
      <c r="AZ71" s="12"/>
    </row>
    <row r="72" spans="1:52" ht="16.5" customHeight="1">
      <c r="A72" s="51" t="s">
        <v>108</v>
      </c>
      <c r="B72" s="52">
        <v>93295.3</v>
      </c>
      <c r="C72"/>
      <c r="G72" s="53"/>
      <c r="H72" s="52"/>
      <c r="U72" s="6"/>
      <c r="AZ72" s="12"/>
    </row>
    <row r="73" spans="1:52" ht="16.5" customHeight="1">
      <c r="A73" s="51" t="s">
        <v>91</v>
      </c>
      <c r="B73" s="52">
        <v>13496.3</v>
      </c>
      <c r="C73"/>
      <c r="G73" s="53"/>
      <c r="H73" s="52"/>
      <c r="U73" s="6"/>
      <c r="AZ73" s="12"/>
    </row>
    <row r="74" spans="1:52" ht="16.5" customHeight="1">
      <c r="A74" s="51" t="s">
        <v>75</v>
      </c>
      <c r="B74" s="52">
        <v>3457.2</v>
      </c>
      <c r="C74"/>
      <c r="G74" s="53"/>
      <c r="H74" s="52"/>
      <c r="U74" s="6"/>
      <c r="AZ74" s="12"/>
    </row>
    <row r="75" spans="1:52" ht="16.5" customHeight="1">
      <c r="A75" s="51" t="s">
        <v>89</v>
      </c>
      <c r="B75" s="52">
        <v>129894.83</v>
      </c>
      <c r="C75"/>
      <c r="G75" s="53"/>
      <c r="H75" s="52"/>
      <c r="U75" s="6"/>
      <c r="AZ75" s="12"/>
    </row>
    <row r="76" spans="1:52" ht="16.5" customHeight="1">
      <c r="A76" s="51" t="s">
        <v>90</v>
      </c>
      <c r="B76" s="52">
        <v>9340.6750000000011</v>
      </c>
      <c r="C76"/>
      <c r="G76" s="53"/>
      <c r="H76" s="52"/>
      <c r="U76" s="6"/>
      <c r="AZ76" s="12"/>
    </row>
    <row r="77" spans="1:52" ht="16.5" customHeight="1">
      <c r="A77" s="51" t="s">
        <v>74</v>
      </c>
      <c r="B77" s="52">
        <v>12441.35</v>
      </c>
      <c r="C77"/>
      <c r="G77" s="53"/>
      <c r="H77" s="52"/>
      <c r="U77" s="6"/>
      <c r="AZ77" s="12"/>
    </row>
    <row r="78" spans="1:52" ht="16.5" customHeight="1">
      <c r="A78" s="51" t="s">
        <v>71</v>
      </c>
      <c r="B78" s="52">
        <v>124870.65000000001</v>
      </c>
      <c r="C78"/>
      <c r="G78" s="53"/>
      <c r="H78" s="52"/>
      <c r="U78" s="6"/>
      <c r="AZ78" s="12"/>
    </row>
    <row r="79" spans="1:52" ht="16.5" customHeight="1">
      <c r="A79" s="51" t="s">
        <v>72</v>
      </c>
      <c r="B79" s="52">
        <v>3067.3</v>
      </c>
      <c r="C79"/>
      <c r="G79" s="53"/>
      <c r="H79" s="52"/>
      <c r="U79" s="6"/>
      <c r="AZ79" s="12"/>
    </row>
    <row r="80" spans="1:52" ht="16.5" customHeight="1">
      <c r="A80" s="51" t="s">
        <v>73</v>
      </c>
      <c r="B80" s="52">
        <v>82919.899999999994</v>
      </c>
      <c r="C80"/>
      <c r="G80" s="53"/>
      <c r="H80" s="52"/>
      <c r="U80" s="6"/>
      <c r="AZ80" s="12"/>
    </row>
    <row r="81" spans="1:52" ht="16.5" customHeight="1">
      <c r="A81" s="51" t="s">
        <v>79</v>
      </c>
      <c r="B81" s="52">
        <v>57982.400000000001</v>
      </c>
      <c r="C81"/>
      <c r="G81" s="53"/>
      <c r="H81" s="52"/>
      <c r="U81" s="6"/>
      <c r="AZ81" s="12"/>
    </row>
    <row r="82" spans="1:52" ht="16.5" customHeight="1">
      <c r="A82" s="51" t="s">
        <v>88</v>
      </c>
      <c r="B82" s="52">
        <v>120985.06</v>
      </c>
      <c r="C82"/>
      <c r="G82" s="53"/>
      <c r="H82" s="52"/>
      <c r="U82" s="6"/>
      <c r="AZ82" s="12"/>
    </row>
    <row r="83" spans="1:52" ht="16.5" customHeight="1">
      <c r="A83" s="51" t="s">
        <v>80</v>
      </c>
      <c r="B83" s="52">
        <v>0</v>
      </c>
      <c r="C83"/>
      <c r="G83" s="53"/>
      <c r="H83" s="52"/>
      <c r="U83" s="6"/>
      <c r="AZ83" s="12"/>
    </row>
    <row r="84" spans="1:52" ht="16.5" customHeight="1">
      <c r="A84" s="51" t="s">
        <v>81</v>
      </c>
      <c r="B84" s="52">
        <v>0</v>
      </c>
      <c r="C84"/>
      <c r="G84" s="53"/>
      <c r="H84" s="52"/>
      <c r="U84" s="6"/>
      <c r="AZ84" s="12"/>
    </row>
    <row r="85" spans="1:52" ht="16.5" customHeight="1">
      <c r="A85" s="51" t="s">
        <v>77</v>
      </c>
      <c r="B85" s="52">
        <v>49694.400000000001</v>
      </c>
      <c r="C85"/>
      <c r="G85" s="53"/>
      <c r="H85" s="52"/>
      <c r="U85" s="6"/>
      <c r="AZ85" s="12"/>
    </row>
    <row r="86" spans="1:52" ht="16.5" customHeight="1">
      <c r="A86" s="51" t="s">
        <v>82</v>
      </c>
      <c r="B86" s="52">
        <v>3518.95</v>
      </c>
      <c r="C86"/>
      <c r="G86" s="53"/>
      <c r="H86" s="52"/>
      <c r="U86" s="6"/>
      <c r="AZ86" s="12"/>
    </row>
    <row r="87" spans="1:52" ht="16.5" customHeight="1">
      <c r="A87" s="51" t="s">
        <v>78</v>
      </c>
      <c r="B87" s="52">
        <v>33465.674999999996</v>
      </c>
      <c r="C87"/>
      <c r="G87" s="53"/>
      <c r="H87" s="52"/>
      <c r="U87" s="6"/>
      <c r="AZ87" s="12"/>
    </row>
    <row r="88" spans="1:52" ht="16.5" customHeight="1">
      <c r="A88" s="51" t="s">
        <v>93</v>
      </c>
      <c r="B88" s="52">
        <v>69196.7</v>
      </c>
      <c r="C88"/>
      <c r="G88" s="53"/>
      <c r="H88" s="52"/>
      <c r="U88" s="6"/>
      <c r="AZ88" s="12"/>
    </row>
    <row r="89" spans="1:52" ht="16.5" customHeight="1">
      <c r="A89" s="51" t="s">
        <v>84</v>
      </c>
      <c r="B89" s="52">
        <v>2794.53</v>
      </c>
      <c r="G89" s="53"/>
      <c r="H89" s="52"/>
      <c r="U89" s="6"/>
      <c r="AZ89" s="12"/>
    </row>
    <row r="90" spans="1:52" ht="16.5" customHeight="1">
      <c r="A90" s="51" t="s">
        <v>83</v>
      </c>
      <c r="B90" s="52">
        <v>26878.530000000002</v>
      </c>
      <c r="G90" s="53"/>
      <c r="H90" s="52"/>
      <c r="U90" s="6"/>
      <c r="AZ90" s="12"/>
    </row>
    <row r="91" spans="1:52" ht="16.5" customHeight="1">
      <c r="A91" s="51" t="s">
        <v>87</v>
      </c>
      <c r="B91" s="52">
        <v>118495.34999999999</v>
      </c>
      <c r="G91" s="53"/>
      <c r="H91" s="52"/>
      <c r="U91" s="6"/>
      <c r="AZ91" s="12"/>
    </row>
    <row r="92" spans="1:52" ht="16.5" customHeight="1">
      <c r="A92" s="51" t="s">
        <v>86</v>
      </c>
      <c r="B92" s="52">
        <v>154767.30499999999</v>
      </c>
      <c r="G92" s="53"/>
      <c r="H92" s="52"/>
      <c r="U92" s="6"/>
      <c r="AZ92" s="12"/>
    </row>
    <row r="93" spans="1:52" ht="16.5" customHeight="1">
      <c r="A93" s="51" t="s">
        <v>69</v>
      </c>
      <c r="B93" s="52">
        <v>233429.52500000002</v>
      </c>
      <c r="G93" s="53"/>
      <c r="H93" s="52"/>
      <c r="U93" s="6"/>
      <c r="AZ93" s="12"/>
    </row>
    <row r="94" spans="1:52" ht="16.5" customHeight="1">
      <c r="A94" s="51" t="s">
        <v>85</v>
      </c>
      <c r="B94" s="52">
        <v>81252.76999999999</v>
      </c>
      <c r="G94" s="53"/>
      <c r="H94" s="52"/>
      <c r="U94" s="6"/>
      <c r="AZ94" s="12"/>
    </row>
    <row r="95" spans="1:52" ht="16.5" customHeight="1">
      <c r="A95" s="51" t="s">
        <v>100</v>
      </c>
      <c r="B95" s="52">
        <v>370699.5</v>
      </c>
      <c r="G95" s="53"/>
      <c r="H95" s="52"/>
      <c r="U95" s="6"/>
      <c r="AZ95" s="12"/>
    </row>
    <row r="96" spans="1:52" ht="16.5" customHeight="1">
      <c r="A96" s="51" t="s">
        <v>97</v>
      </c>
      <c r="B96" s="52">
        <v>182782.5</v>
      </c>
      <c r="G96" s="53"/>
      <c r="H96" s="52"/>
      <c r="U96" s="6"/>
      <c r="AZ96" s="12"/>
    </row>
    <row r="97" spans="1:52" ht="16.5" customHeight="1">
      <c r="A97" s="51" t="s">
        <v>107</v>
      </c>
      <c r="B97" s="52">
        <v>11700.5</v>
      </c>
      <c r="G97" s="53"/>
      <c r="H97" s="52"/>
      <c r="U97" s="6"/>
      <c r="AZ97" s="12"/>
    </row>
    <row r="98" spans="1:52" ht="16.5" customHeight="1">
      <c r="A98" s="51" t="s">
        <v>94</v>
      </c>
      <c r="B98" s="52">
        <v>461653.6</v>
      </c>
      <c r="G98" s="53"/>
      <c r="H98" s="52"/>
      <c r="U98" s="6"/>
      <c r="AZ98" s="12"/>
    </row>
    <row r="99" spans="1:52" ht="16.5" customHeight="1">
      <c r="A99" s="51" t="s">
        <v>98</v>
      </c>
      <c r="B99" s="52">
        <v>38017</v>
      </c>
      <c r="G99" s="53"/>
      <c r="H99" s="52"/>
      <c r="U99" s="6"/>
      <c r="AZ99" s="12"/>
    </row>
    <row r="100" spans="1:52" ht="16.5" customHeight="1">
      <c r="A100" s="51" t="s">
        <v>95</v>
      </c>
      <c r="B100" s="52">
        <v>15639.5</v>
      </c>
      <c r="G100" s="53"/>
      <c r="H100" s="52"/>
      <c r="U100" s="6"/>
      <c r="AZ100" s="12"/>
    </row>
    <row r="101" spans="1:52" ht="16.5" customHeight="1">
      <c r="A101" s="51" t="s">
        <v>105</v>
      </c>
      <c r="B101" s="52">
        <v>168292.95</v>
      </c>
      <c r="G101" s="53"/>
      <c r="H101" s="52"/>
      <c r="U101" s="6"/>
      <c r="AZ101" s="12"/>
    </row>
    <row r="102" spans="1:52" ht="16.5" customHeight="1">
      <c r="A102" s="51" t="s">
        <v>104</v>
      </c>
      <c r="B102" s="52">
        <v>68605.5</v>
      </c>
      <c r="G102" s="53"/>
      <c r="H102" s="52"/>
      <c r="U102" s="6"/>
      <c r="AZ102" s="12"/>
    </row>
    <row r="103" spans="1:52" ht="16.5" customHeight="1">
      <c r="A103" s="51" t="s">
        <v>102</v>
      </c>
      <c r="B103" s="52">
        <v>189082.5</v>
      </c>
      <c r="G103" s="53"/>
      <c r="H103" s="52"/>
      <c r="U103" s="6"/>
      <c r="AZ103" s="12"/>
    </row>
    <row r="104" spans="1:52" ht="16.5" customHeight="1">
      <c r="A104" s="51" t="s">
        <v>135</v>
      </c>
      <c r="B104" s="52">
        <v>2931718.2500000005</v>
      </c>
      <c r="G104" s="53"/>
      <c r="H104" s="52"/>
      <c r="U104" s="6"/>
      <c r="AZ104" s="12"/>
    </row>
    <row r="105" spans="1:52" ht="16.5" customHeight="1">
      <c r="G105" s="53"/>
      <c r="H105" s="52"/>
      <c r="U105" s="6"/>
      <c r="AZ105" s="12"/>
    </row>
    <row r="106" spans="1:52" ht="16.5" customHeight="1">
      <c r="G106" s="53"/>
      <c r="H106" s="52"/>
      <c r="U106" s="6"/>
      <c r="AZ106" s="12"/>
    </row>
    <row r="107" spans="1:52" ht="16.5" customHeight="1">
      <c r="G107" s="53"/>
      <c r="H107" s="52"/>
      <c r="U107" s="6"/>
      <c r="AZ107" s="12"/>
    </row>
    <row r="108" spans="1:52" ht="16.5" customHeight="1">
      <c r="G108" s="53"/>
      <c r="H108" s="52"/>
      <c r="U108" s="6"/>
      <c r="AZ108" s="12"/>
    </row>
    <row r="109" spans="1:52" ht="16.5" customHeight="1">
      <c r="G109" s="53"/>
      <c r="H109" s="52"/>
      <c r="U109" s="6"/>
      <c r="AZ109" s="12"/>
    </row>
    <row r="110" spans="1:52" ht="16.5" customHeight="1">
      <c r="G110" s="53"/>
      <c r="H110" s="52"/>
      <c r="U110" s="6"/>
      <c r="AZ110" s="12"/>
    </row>
    <row r="111" spans="1:52" ht="16.5" customHeight="1">
      <c r="G111" s="53"/>
      <c r="H111" s="52"/>
      <c r="U111" s="6"/>
      <c r="AZ111" s="12"/>
    </row>
    <row r="112" spans="1:52" ht="16.5" customHeight="1">
      <c r="G112" s="53"/>
      <c r="H112" s="52"/>
      <c r="U112" s="6"/>
      <c r="AZ112" s="12"/>
    </row>
    <row r="113" spans="7:52" ht="16.5" customHeight="1">
      <c r="G113" s="53"/>
      <c r="H113" s="52"/>
      <c r="U113" s="6"/>
      <c r="AZ113" s="12"/>
    </row>
    <row r="114" spans="7:52" ht="16.5" customHeight="1">
      <c r="G114" s="53"/>
      <c r="H114" s="52"/>
      <c r="U114" s="6"/>
      <c r="AZ114" s="12"/>
    </row>
    <row r="115" spans="7:52" ht="16.5" customHeight="1">
      <c r="G115" s="53"/>
      <c r="H115" s="52"/>
      <c r="U115" s="6"/>
      <c r="AZ115" s="12"/>
    </row>
    <row r="116" spans="7:52" ht="16.5" customHeight="1">
      <c r="G116" s="53"/>
      <c r="H116" s="52"/>
      <c r="U116" s="6"/>
      <c r="AZ116" s="12"/>
    </row>
    <row r="117" spans="7:52" ht="16.5" customHeight="1">
      <c r="G117" s="53"/>
      <c r="H117" s="52"/>
      <c r="U117" s="6"/>
      <c r="AZ117" s="12"/>
    </row>
    <row r="118" spans="7:52" ht="16.5" customHeight="1">
      <c r="G118" s="53"/>
      <c r="H118" s="52"/>
      <c r="U118" s="6"/>
      <c r="AZ118" s="12"/>
    </row>
    <row r="119" spans="7:52" ht="16.5" customHeight="1">
      <c r="G119" s="53"/>
      <c r="H119" s="52"/>
      <c r="U119" s="6"/>
      <c r="AZ119" s="12"/>
    </row>
    <row r="120" spans="7:52" ht="16.5" customHeight="1">
      <c r="U120" s="6"/>
      <c r="AZ120" s="12"/>
    </row>
    <row r="121" spans="7:52" ht="16.5" customHeight="1">
      <c r="U121" s="6"/>
      <c r="AZ121" s="12"/>
    </row>
    <row r="122" spans="7:52" ht="16.5" customHeight="1">
      <c r="U122" s="6"/>
      <c r="AZ122" s="12"/>
    </row>
    <row r="123" spans="7:52" ht="16.5" customHeight="1">
      <c r="U123" s="6"/>
      <c r="AZ123" s="12"/>
    </row>
    <row r="124" spans="7:52" ht="16.5" customHeight="1">
      <c r="U124" s="6"/>
      <c r="AZ124" s="12"/>
    </row>
    <row r="125" spans="7:52" ht="16.5" customHeight="1">
      <c r="U125" s="6"/>
      <c r="AZ125" s="12"/>
    </row>
    <row r="126" spans="7:52" ht="16.5" customHeight="1">
      <c r="U126" s="6"/>
      <c r="AZ126" s="12"/>
    </row>
    <row r="127" spans="7:52" ht="16.5" customHeight="1">
      <c r="U127" s="6"/>
      <c r="AZ127" s="12"/>
    </row>
    <row r="128" spans="7:52" ht="16.5" customHeight="1">
      <c r="U128" s="6"/>
      <c r="AZ128" s="12"/>
    </row>
    <row r="129" spans="21:52" ht="16.5" customHeight="1">
      <c r="U129" s="6"/>
      <c r="AZ129" s="12"/>
    </row>
    <row r="130" spans="21:52" ht="16.5" customHeight="1">
      <c r="U130" s="6"/>
      <c r="AZ130" s="12"/>
    </row>
    <row r="131" spans="21:52" ht="16.5" customHeight="1">
      <c r="U131" s="6"/>
      <c r="AZ131" s="12"/>
    </row>
    <row r="132" spans="21:52" ht="16.5" customHeight="1">
      <c r="U132" s="6"/>
      <c r="AZ132" s="12"/>
    </row>
    <row r="133" spans="21:52" ht="16.5" customHeight="1">
      <c r="U133" s="6"/>
      <c r="AZ133" s="12"/>
    </row>
    <row r="134" spans="21:52" ht="16.5" customHeight="1">
      <c r="U134" s="6"/>
      <c r="AZ134" s="12"/>
    </row>
    <row r="135" spans="21:52" ht="16.5" customHeight="1">
      <c r="U135" s="6"/>
      <c r="AZ135" s="12"/>
    </row>
    <row r="136" spans="21:52" ht="16.5" customHeight="1">
      <c r="U136" s="6"/>
      <c r="AZ136" s="12"/>
    </row>
    <row r="137" spans="21:52" ht="16.5" customHeight="1">
      <c r="U137" s="6"/>
      <c r="AZ137" s="12"/>
    </row>
    <row r="138" spans="21:52" ht="16.5" customHeight="1">
      <c r="U138" s="6"/>
      <c r="AZ138" s="12"/>
    </row>
    <row r="139" spans="21:52" ht="16.5" customHeight="1">
      <c r="U139" s="6"/>
      <c r="AZ139" s="12"/>
    </row>
    <row r="140" spans="21:52" ht="16.5" customHeight="1">
      <c r="U140" s="6"/>
      <c r="AZ140" s="12"/>
    </row>
    <row r="141" spans="21:52" ht="16.5" customHeight="1">
      <c r="U141" s="6"/>
      <c r="AZ141" s="12"/>
    </row>
  </sheetData>
  <autoFilter ref="B1:B141" xr:uid="{00000000-0001-0000-0000-000000000000}">
    <filterColumn colId="0">
      <filters blank="1">
        <filter val="方小丹"/>
        <filter val="洪奕翔"/>
        <filter val="梁志成"/>
        <filter val="王青"/>
        <filter val="文龙"/>
        <filter val="吴兴涛"/>
        <filter val="徐丹"/>
        <filter val="郑伟峰"/>
      </filters>
    </filterColumn>
  </autoFilter>
  <mergeCells count="1">
    <mergeCell ref="A61:B63"/>
  </mergeCells>
  <phoneticPr fontId="13" type="noConversion"/>
  <conditionalFormatting sqref="AJ2:AJ49 AJ51:AJ141">
    <cfRule type="cellIs" dxfId="12" priority="1" operator="greaterThan">
      <formula>0.45</formula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75"/>
  <sheetViews>
    <sheetView workbookViewId="0"/>
  </sheetViews>
  <sheetFormatPr defaultColWidth="10" defaultRowHeight="15.5"/>
  <cols>
    <col min="1" max="1" width="26.3046875"/>
    <col min="2" max="2" width="9"/>
    <col min="3" max="3" width="6.3828125"/>
    <col min="4" max="5" width="11.61328125" style="15"/>
    <col min="6" max="7" width="14.23046875" style="15"/>
    <col min="8" max="8" width="11.61328125" style="15"/>
    <col min="9" max="9" width="14.23046875" style="15"/>
    <col min="10" max="10" width="11.61328125" style="15"/>
    <col min="11" max="12" width="14.23046875" style="15"/>
    <col min="13" max="13" width="16.84375" style="15"/>
    <col min="14" max="14" width="21.61328125" style="15"/>
    <col min="15" max="15" width="19" style="15"/>
    <col min="16" max="16" width="14.23046875" style="15"/>
    <col min="17" max="17" width="11.61328125" style="15"/>
    <col min="18" max="18" width="16.84375" style="15"/>
    <col min="19" max="19" width="11.61328125" style="15"/>
    <col min="20" max="20" width="12.07421875" style="15"/>
    <col min="21" max="21" width="16.84375" style="15"/>
    <col min="22" max="22" width="11.61328125" style="15"/>
    <col min="23" max="23" width="24.3046875" style="15"/>
    <col min="24" max="24" width="16.84375" style="15"/>
    <col min="25" max="25" width="19.4609375" style="15"/>
    <col min="26" max="26" width="16.84375" style="15"/>
    <col min="27" max="27" width="10.61328125" style="15"/>
    <col min="28" max="28" width="17.921875" style="20"/>
    <col min="29" max="29" width="18.84375" style="15"/>
    <col min="30" max="30" width="16.84375" style="20"/>
    <col min="31" max="31" width="9.61328125" style="15"/>
    <col min="32" max="32" width="11.61328125"/>
    <col min="33" max="34" width="14.23046875"/>
    <col min="35" max="35" width="19"/>
    <col min="36" max="38" width="11.61328125"/>
    <col min="39" max="39" width="19"/>
    <col min="40" max="40" width="11.61328125"/>
    <col min="41" max="41" width="14.23046875"/>
    <col min="42" max="43" width="11.61328125"/>
    <col min="44" max="45" width="14.23046875"/>
    <col min="46" max="46" width="19"/>
    <col min="47" max="48" width="11.61328125"/>
    <col min="49" max="50" width="16.84375"/>
    <col min="51" max="52" width="19.4609375"/>
    <col min="53" max="54" width="24.3046875"/>
    <col min="55" max="56" width="16.84375"/>
    <col min="57" max="57" width="11.61328125"/>
    <col min="58" max="58" width="32.61328125"/>
    <col min="59" max="59" width="27.3828125"/>
    <col min="60" max="60" width="30"/>
  </cols>
  <sheetData>
    <row r="1" spans="1:68" s="1" customFormat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7" t="s">
        <v>19</v>
      </c>
      <c r="U1" s="4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4" t="s">
        <v>32</v>
      </c>
      <c r="AH1" s="4" t="s">
        <v>33</v>
      </c>
      <c r="AI1" s="7" t="s">
        <v>34</v>
      </c>
      <c r="AJ1" s="10" t="s">
        <v>35</v>
      </c>
      <c r="AK1" s="7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4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1" t="s">
        <v>66</v>
      </c>
      <c r="BP1" s="1" t="s">
        <v>67</v>
      </c>
    </row>
    <row r="2" spans="1:68" s="2" customFormat="1" ht="22.5" customHeight="1">
      <c r="A2" s="4" t="e" vm="1">
        <f>_xlfn._xlws.FILTER(Sheet1!A:BL,Sheet1!B:B="小叮当")</f>
        <v>#VALUE!</v>
      </c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8"/>
      <c r="U2" s="8"/>
      <c r="V2" s="8"/>
      <c r="W2" s="8"/>
      <c r="X2" s="8"/>
      <c r="Y2" s="8"/>
      <c r="Z2" s="9"/>
      <c r="AA2" s="9"/>
      <c r="AB2" s="6"/>
      <c r="AC2" s="8"/>
      <c r="AD2" s="8"/>
      <c r="AE2" s="8"/>
      <c r="AF2" s="8"/>
      <c r="AG2" s="9"/>
      <c r="AH2" s="11"/>
      <c r="AI2" s="9"/>
      <c r="AJ2" s="11"/>
      <c r="AK2" s="6"/>
      <c r="AL2" s="12"/>
      <c r="AM2" s="12"/>
      <c r="AN2" s="12"/>
      <c r="AO2" s="12"/>
      <c r="AP2" s="12"/>
      <c r="AQ2" s="13"/>
      <c r="AR2" s="12"/>
      <c r="AS2" s="12"/>
      <c r="AT2" s="12"/>
      <c r="AU2" s="12"/>
      <c r="AV2" s="13"/>
      <c r="AW2" s="12"/>
      <c r="AX2" s="12"/>
      <c r="AY2" s="12"/>
      <c r="AZ2" s="12"/>
      <c r="BA2" s="12"/>
      <c r="BB2" s="13"/>
      <c r="BC2" s="12"/>
      <c r="BD2" s="12"/>
      <c r="BE2" s="12"/>
      <c r="BF2" s="12"/>
      <c r="BG2" s="12"/>
      <c r="BH2" s="12"/>
      <c r="BI2" s="12"/>
      <c r="BJ2" s="12"/>
      <c r="BK2" s="13"/>
      <c r="BL2" s="9"/>
      <c r="BM2" s="9"/>
      <c r="BN2" s="9"/>
    </row>
    <row r="3" spans="1:68" s="2" customFormat="1" ht="16.5" customHeight="1">
      <c r="A3" s="17"/>
      <c r="B3" s="18"/>
      <c r="C3" s="18"/>
      <c r="S3" s="6"/>
      <c r="T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H3" s="19"/>
      <c r="AI3" s="6"/>
      <c r="AJ3" s="19"/>
      <c r="AK3" s="6"/>
      <c r="BG3" s="12"/>
      <c r="BH3" s="6"/>
      <c r="BI3" s="6"/>
      <c r="BJ3" s="6"/>
      <c r="BK3" s="6"/>
      <c r="BL3" s="6"/>
      <c r="BM3" s="6"/>
    </row>
    <row r="4" spans="1:68" s="2" customFormat="1" ht="16.5" customHeight="1">
      <c r="A4" s="17"/>
      <c r="B4" s="18"/>
      <c r="C4" s="18"/>
      <c r="S4" s="6"/>
      <c r="T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H4" s="19"/>
      <c r="AI4" s="6"/>
      <c r="AJ4" s="19"/>
      <c r="AK4" s="6"/>
      <c r="BG4" s="12"/>
      <c r="BH4" s="6"/>
      <c r="BI4" s="6"/>
      <c r="BJ4" s="6"/>
      <c r="BK4" s="6"/>
      <c r="BL4" s="6"/>
      <c r="BM4" s="6"/>
    </row>
    <row r="5" spans="1:68" s="2" customFormat="1" ht="16.5" customHeight="1">
      <c r="A5" s="17"/>
      <c r="B5" s="18"/>
      <c r="C5" s="18"/>
      <c r="S5" s="6"/>
      <c r="T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H5" s="19"/>
      <c r="AI5" s="6"/>
      <c r="AJ5" s="19"/>
      <c r="AK5" s="6"/>
      <c r="BG5" s="12"/>
      <c r="BH5" s="6"/>
      <c r="BI5" s="6"/>
      <c r="BJ5" s="6"/>
      <c r="BK5" s="6"/>
      <c r="BL5" s="6"/>
      <c r="BM5" s="6"/>
    </row>
    <row r="6" spans="1:68" s="2" customFormat="1" ht="16.5" customHeight="1">
      <c r="A6" s="17"/>
      <c r="B6" s="18"/>
      <c r="C6" s="18"/>
      <c r="S6" s="6"/>
      <c r="T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H6" s="19"/>
      <c r="AI6" s="6"/>
      <c r="AJ6" s="19"/>
      <c r="AK6" s="6"/>
      <c r="BG6" s="12"/>
      <c r="BH6" s="6"/>
      <c r="BI6" s="6"/>
      <c r="BJ6" s="6"/>
      <c r="BK6" s="6"/>
      <c r="BL6" s="6"/>
      <c r="BM6" s="6"/>
    </row>
    <row r="7" spans="1:68" s="2" customFormat="1" ht="16.5" customHeight="1">
      <c r="A7" s="17"/>
      <c r="B7" s="18"/>
      <c r="C7" s="18"/>
      <c r="S7" s="6"/>
      <c r="T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H7" s="19"/>
      <c r="AI7" s="6"/>
      <c r="AJ7" s="19"/>
      <c r="AK7" s="6"/>
      <c r="BG7" s="12"/>
      <c r="BH7" s="6"/>
      <c r="BI7" s="6"/>
      <c r="BJ7" s="6"/>
      <c r="BK7" s="6"/>
      <c r="BL7" s="6"/>
      <c r="BM7" s="6"/>
    </row>
    <row r="8" spans="1:68" s="2" customFormat="1" ht="16.5" customHeight="1">
      <c r="A8" s="17"/>
      <c r="B8" s="18"/>
      <c r="C8" s="18"/>
      <c r="S8" s="6"/>
      <c r="T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H8" s="19"/>
      <c r="AI8" s="6"/>
      <c r="AJ8" s="19"/>
      <c r="AK8" s="6"/>
      <c r="BG8" s="12"/>
      <c r="BH8" s="6"/>
      <c r="BI8" s="6"/>
      <c r="BJ8" s="6"/>
      <c r="BK8" s="6"/>
      <c r="BL8" s="6"/>
      <c r="BM8" s="6"/>
    </row>
    <row r="9" spans="1:68" s="2" customFormat="1" ht="16.5" customHeight="1">
      <c r="A9" s="17"/>
      <c r="B9" s="18"/>
      <c r="C9" s="18"/>
      <c r="S9" s="6"/>
      <c r="T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H9" s="19"/>
      <c r="AI9" s="6"/>
      <c r="AJ9" s="19"/>
      <c r="AK9" s="6"/>
      <c r="BG9" s="12"/>
      <c r="BH9" s="6"/>
      <c r="BI9" s="6"/>
      <c r="BJ9" s="6"/>
      <c r="BK9" s="6"/>
      <c r="BL9" s="6"/>
      <c r="BM9" s="6"/>
    </row>
    <row r="10" spans="1:68" s="2" customFormat="1" ht="16.5" customHeight="1">
      <c r="A10" s="17"/>
      <c r="B10" s="18"/>
      <c r="C10" s="18"/>
      <c r="S10" s="6"/>
      <c r="T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H10" s="19"/>
      <c r="AI10" s="6"/>
      <c r="AJ10" s="19"/>
      <c r="AK10" s="6"/>
      <c r="BG10" s="12"/>
      <c r="BH10" s="6"/>
      <c r="BI10" s="6"/>
      <c r="BJ10" s="6"/>
      <c r="BK10" s="6"/>
      <c r="BL10" s="6"/>
      <c r="BM10" s="6"/>
    </row>
    <row r="11" spans="1:68" s="2" customFormat="1" ht="16.5" customHeight="1">
      <c r="A11" s="17"/>
      <c r="B11" s="18"/>
      <c r="C11" s="18"/>
      <c r="S11" s="6"/>
      <c r="T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H11" s="19"/>
      <c r="AI11" s="6"/>
      <c r="AJ11" s="19"/>
      <c r="AK11" s="6"/>
      <c r="BG11" s="12"/>
      <c r="BH11" s="6"/>
      <c r="BI11" s="6"/>
      <c r="BJ11" s="6"/>
      <c r="BK11" s="6"/>
      <c r="BL11" s="6"/>
      <c r="BM11" s="6"/>
    </row>
    <row r="12" spans="1:68" s="2" customFormat="1" ht="16.5" customHeight="1">
      <c r="A12" s="17"/>
      <c r="B12" s="18"/>
      <c r="C12" s="18"/>
      <c r="S12" s="6"/>
      <c r="T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H12" s="19"/>
      <c r="AI12" s="6"/>
      <c r="AJ12" s="19"/>
      <c r="AK12" s="6"/>
      <c r="BG12" s="12"/>
      <c r="BH12" s="6"/>
      <c r="BI12" s="6"/>
      <c r="BJ12" s="6"/>
      <c r="BK12" s="6"/>
      <c r="BL12" s="6"/>
      <c r="BM12" s="6"/>
    </row>
    <row r="13" spans="1:68" s="2" customFormat="1" ht="16.5" customHeight="1">
      <c r="A13" s="17"/>
      <c r="B13" s="18"/>
      <c r="C13" s="18"/>
      <c r="S13" s="6"/>
      <c r="T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H13" s="19"/>
      <c r="AI13" s="6"/>
      <c r="AJ13" s="19"/>
      <c r="AK13" s="6"/>
      <c r="BG13" s="12"/>
      <c r="BH13" s="6"/>
      <c r="BI13" s="6"/>
      <c r="BJ13" s="6"/>
      <c r="BK13" s="6"/>
      <c r="BL13" s="6"/>
      <c r="BM13" s="6"/>
    </row>
    <row r="14" spans="1:68" s="2" customFormat="1" ht="16.5" customHeight="1">
      <c r="A14" s="17"/>
      <c r="B14" s="18"/>
      <c r="C14" s="18"/>
      <c r="S14" s="6"/>
      <c r="T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H14" s="19"/>
      <c r="AI14" s="6"/>
      <c r="AJ14" s="19"/>
      <c r="AK14" s="6"/>
      <c r="BG14" s="12"/>
      <c r="BH14" s="6"/>
      <c r="BI14" s="6"/>
      <c r="BJ14" s="6"/>
      <c r="BK14" s="6"/>
      <c r="BL14" s="6"/>
      <c r="BM14" s="6"/>
    </row>
    <row r="15" spans="1:68" s="2" customFormat="1" ht="16.5" customHeight="1">
      <c r="A15" s="17"/>
      <c r="B15" s="18"/>
      <c r="C15" s="18"/>
      <c r="S15" s="6"/>
      <c r="T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H15" s="19"/>
      <c r="AI15" s="6"/>
      <c r="AJ15" s="19"/>
      <c r="AK15" s="6"/>
      <c r="BG15" s="12"/>
      <c r="BH15" s="6"/>
      <c r="BI15" s="6"/>
      <c r="BJ15" s="6"/>
      <c r="BK15" s="6"/>
      <c r="BL15" s="6"/>
      <c r="BM15" s="6"/>
    </row>
    <row r="16" spans="1:68" s="2" customFormat="1" ht="16.5" customHeight="1">
      <c r="A16" s="17"/>
      <c r="B16" s="18"/>
      <c r="C16" s="18"/>
      <c r="S16" s="6"/>
      <c r="T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H16" s="19"/>
      <c r="AI16" s="6"/>
      <c r="AJ16" s="19"/>
      <c r="AK16" s="6"/>
      <c r="BG16" s="12"/>
      <c r="BH16" s="6"/>
      <c r="BI16" s="6"/>
      <c r="BJ16" s="6"/>
      <c r="BK16" s="6"/>
      <c r="BL16" s="6"/>
      <c r="BM16" s="6"/>
    </row>
    <row r="17" spans="1:65" s="2" customFormat="1" ht="16.5" customHeight="1">
      <c r="A17" s="17"/>
      <c r="B17" s="18"/>
      <c r="C17" s="18"/>
      <c r="S17" s="6"/>
      <c r="T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H17" s="19"/>
      <c r="AI17" s="6"/>
      <c r="AJ17" s="19"/>
      <c r="AK17" s="6"/>
      <c r="BG17" s="12"/>
      <c r="BH17" s="6"/>
      <c r="BI17" s="6"/>
      <c r="BJ17" s="6"/>
      <c r="BK17" s="6"/>
      <c r="BL17" s="6"/>
      <c r="BM17" s="6"/>
    </row>
    <row r="75" spans="6:6" ht="16.5" customHeight="1">
      <c r="F75" s="21"/>
    </row>
  </sheetData>
  <phoneticPr fontId="13" type="noConversion"/>
  <conditionalFormatting sqref="AH2:AH17">
    <cfRule type="cellIs" dxfId="11" priority="1" operator="greaterThan">
      <formula>0.45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21"/>
  <sheetViews>
    <sheetView workbookViewId="0"/>
  </sheetViews>
  <sheetFormatPr defaultColWidth="10" defaultRowHeight="15.5"/>
  <cols>
    <col min="1" max="1" width="6.3828125"/>
    <col min="2" max="2" width="9"/>
    <col min="3" max="3" width="24.84375"/>
    <col min="4" max="5" width="12.765625"/>
    <col min="6" max="9" width="14.23046875"/>
    <col min="10" max="10" width="12.765625"/>
    <col min="11" max="13" width="14.23046875"/>
    <col min="14" max="14" width="16.84375"/>
    <col min="15" max="15" width="14.23046875"/>
    <col min="16" max="16" width="11.61328125"/>
    <col min="17" max="17" width="14.23046875"/>
    <col min="18" max="18" width="21.61328125"/>
    <col min="19" max="19" width="19"/>
    <col min="20" max="20" width="14.23046875"/>
    <col min="21" max="21" width="11.61328125"/>
    <col min="22" max="22" width="12.84375"/>
    <col min="23" max="23" width="15.53515625"/>
    <col min="24" max="24" width="14.23046875"/>
    <col min="25" max="26" width="16.84375"/>
    <col min="27" max="27" width="11.61328125"/>
    <col min="28" max="28" width="14.23046875"/>
    <col min="29" max="29" width="16.84375"/>
    <col min="30" max="30" width="13.69140625"/>
    <col min="31" max="31" width="24.3046875"/>
    <col min="32" max="32" width="16.84375"/>
    <col min="33" max="33" width="19.4609375"/>
    <col min="34" max="34" width="16.84375"/>
    <col min="35" max="35" width="13.69140625"/>
    <col min="36" max="36" width="11.53515625"/>
    <col min="37" max="37" width="18.84375"/>
    <col min="38" max="38" width="16.84375"/>
    <col min="39" max="39" width="12.765625"/>
    <col min="40" max="40" width="11.61328125"/>
    <col min="41" max="42" width="14.23046875"/>
    <col min="43" max="43" width="19"/>
    <col min="44" max="46" width="11.61328125"/>
    <col min="47" max="47" width="19"/>
    <col min="48" max="48" width="11.61328125"/>
    <col min="49" max="49" width="14.23046875"/>
    <col min="50" max="51" width="11.61328125"/>
    <col min="52" max="53" width="14.23046875"/>
    <col min="54" max="54" width="19"/>
    <col min="55" max="56" width="11.61328125"/>
    <col min="57" max="58" width="16.84375"/>
    <col min="59" max="60" width="19.4609375"/>
    <col min="61" max="62" width="24.3046875"/>
    <col min="63" max="63" width="16.84375"/>
    <col min="64" max="64" width="16.84375" style="15"/>
    <col min="65" max="65" width="11.61328125"/>
    <col min="66" max="66" width="32.61328125"/>
    <col min="67" max="67" width="27.3828125"/>
    <col min="68" max="68" width="30"/>
  </cols>
  <sheetData>
    <row r="1" spans="1:68" s="1" customFormat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7" t="s">
        <v>19</v>
      </c>
      <c r="U1" s="4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4" t="s">
        <v>32</v>
      </c>
      <c r="AH1" s="4" t="s">
        <v>33</v>
      </c>
      <c r="AI1" s="7" t="s">
        <v>34</v>
      </c>
      <c r="AJ1" s="10" t="s">
        <v>35</v>
      </c>
      <c r="AK1" s="7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4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1" t="s">
        <v>66</v>
      </c>
      <c r="BP1" s="1" t="s">
        <v>67</v>
      </c>
    </row>
    <row r="2" spans="1:68" s="2" customFormat="1" ht="22.5" customHeight="1">
      <c r="A2" s="4">
        <f t="array" ref="A2:BP6">_xlfn._xlws.FILTER(Sheet1!A:BP,Sheet1!B:B="郑伟峰")</f>
        <v>2</v>
      </c>
      <c r="B2" s="5" t="str">
        <v>郑伟峰</v>
      </c>
      <c r="C2" s="5" t="str">
        <v>福州东百中心</v>
      </c>
      <c r="D2" s="6">
        <v>7351.1</v>
      </c>
      <c r="E2" s="6">
        <v>22088.75</v>
      </c>
      <c r="F2" s="6">
        <v>3159.65</v>
      </c>
      <c r="G2" s="6">
        <v>32599.5</v>
      </c>
      <c r="H2" s="6">
        <v>66864.600000000006</v>
      </c>
      <c r="I2" s="6">
        <v>3347.3449999999998</v>
      </c>
      <c r="J2" s="6">
        <v>21847.599999999999</v>
      </c>
      <c r="K2" s="6">
        <v>1094.3499999999999</v>
      </c>
      <c r="L2" s="6">
        <v>3558.95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9">
        <v>124870.65000000001</v>
      </c>
      <c r="AC2" s="9">
        <v>120256.1109</v>
      </c>
      <c r="AD2" s="6">
        <v>-10299.195</v>
      </c>
      <c r="AE2" s="8">
        <v>0</v>
      </c>
      <c r="AF2" s="8">
        <v>0</v>
      </c>
      <c r="AG2" s="8">
        <v>-1413.75</v>
      </c>
      <c r="AH2" s="8">
        <v>0</v>
      </c>
      <c r="AI2" s="9">
        <v>-11712.945</v>
      </c>
      <c r="AJ2" s="11">
        <v>-9.3800624886632683E-2</v>
      </c>
      <c r="AK2" s="9">
        <v>0</v>
      </c>
      <c r="AL2" s="11">
        <v>0</v>
      </c>
      <c r="AM2" s="6">
        <v>7351.1</v>
      </c>
      <c r="AN2" s="12">
        <v>42703.5</v>
      </c>
      <c r="AO2" s="12">
        <v>0</v>
      </c>
      <c r="AP2" s="12">
        <v>161281</v>
      </c>
      <c r="AQ2" s="12">
        <v>0</v>
      </c>
      <c r="AR2" s="12">
        <v>0</v>
      </c>
      <c r="AS2" s="13">
        <v>203984.5</v>
      </c>
      <c r="AT2" s="12">
        <v>169926</v>
      </c>
      <c r="AU2" s="12">
        <v>0</v>
      </c>
      <c r="AV2" s="12">
        <v>0</v>
      </c>
      <c r="AW2" s="12">
        <v>0</v>
      </c>
      <c r="AX2" s="13">
        <v>169926</v>
      </c>
      <c r="AY2" s="12">
        <v>103.5</v>
      </c>
      <c r="AZ2" s="12">
        <v>0</v>
      </c>
      <c r="BA2" s="12">
        <v>3557</v>
      </c>
      <c r="BB2" s="12">
        <v>0</v>
      </c>
      <c r="BC2" s="12">
        <v>0</v>
      </c>
      <c r="BD2" s="13">
        <v>3660.5</v>
      </c>
      <c r="BE2" s="12">
        <v>0</v>
      </c>
      <c r="BF2" s="12">
        <v>0</v>
      </c>
      <c r="BG2" s="12">
        <v>4868.5</v>
      </c>
      <c r="BH2" s="12">
        <v>5811</v>
      </c>
      <c r="BI2" s="12">
        <v>0</v>
      </c>
      <c r="BJ2" s="12">
        <v>0</v>
      </c>
      <c r="BK2" s="12">
        <v>0</v>
      </c>
      <c r="BL2" s="12">
        <v>0</v>
      </c>
      <c r="BM2" s="13">
        <v>4868.5</v>
      </c>
      <c r="BN2" s="9">
        <v>1.3300095615353</v>
      </c>
      <c r="BO2" s="9">
        <v>0.61215754138182077</v>
      </c>
      <c r="BP2" s="9">
        <v>55.7258571233438</v>
      </c>
    </row>
    <row r="3" spans="1:68" s="2" customFormat="1" ht="22.5" customHeight="1">
      <c r="A3" s="4">
        <v>3</v>
      </c>
      <c r="B3" s="5" t="str">
        <v>郑伟峰</v>
      </c>
      <c r="C3" s="5" t="str">
        <v>福州苏宁广场</v>
      </c>
      <c r="D3" s="6">
        <v>90</v>
      </c>
      <c r="E3" s="6">
        <v>1459.85</v>
      </c>
      <c r="F3" s="6">
        <v>260</v>
      </c>
      <c r="G3" s="6">
        <v>1809.85</v>
      </c>
      <c r="H3" s="6">
        <v>855.45</v>
      </c>
      <c r="I3" s="6">
        <v>42.75</v>
      </c>
      <c r="J3" s="6">
        <v>402</v>
      </c>
      <c r="K3" s="6">
        <v>20.149999999999999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9">
        <v>3067.3</v>
      </c>
      <c r="AC3" s="9">
        <v>2994.0808999999999</v>
      </c>
      <c r="AD3" s="6">
        <v>0</v>
      </c>
      <c r="AE3" s="8">
        <v>0</v>
      </c>
      <c r="AF3" s="8">
        <v>0</v>
      </c>
      <c r="AG3" s="8">
        <v>0</v>
      </c>
      <c r="AH3" s="8">
        <v>0</v>
      </c>
      <c r="AI3" s="9">
        <v>0</v>
      </c>
      <c r="AJ3" s="11">
        <v>0</v>
      </c>
      <c r="AK3" s="9">
        <v>0</v>
      </c>
      <c r="AL3" s="11">
        <v>0</v>
      </c>
      <c r="AM3" s="6">
        <v>90</v>
      </c>
      <c r="AN3" s="12">
        <v>5412.5</v>
      </c>
      <c r="AO3" s="12">
        <v>0</v>
      </c>
      <c r="AP3" s="12">
        <v>0</v>
      </c>
      <c r="AQ3" s="12">
        <v>0</v>
      </c>
      <c r="AR3" s="12">
        <v>0</v>
      </c>
      <c r="AS3" s="13">
        <v>5412.5</v>
      </c>
      <c r="AT3" s="12">
        <v>3699.5</v>
      </c>
      <c r="AU3" s="12">
        <v>0</v>
      </c>
      <c r="AV3" s="12">
        <v>0</v>
      </c>
      <c r="AW3" s="12">
        <v>0</v>
      </c>
      <c r="AX3" s="13">
        <v>3699.5</v>
      </c>
      <c r="AY3" s="12">
        <v>87.5</v>
      </c>
      <c r="AZ3" s="12">
        <v>0</v>
      </c>
      <c r="BA3" s="12">
        <v>0</v>
      </c>
      <c r="BB3" s="12">
        <v>0</v>
      </c>
      <c r="BC3" s="12">
        <v>0</v>
      </c>
      <c r="BD3" s="13">
        <v>87.5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3">
        <v>0</v>
      </c>
      <c r="BN3" s="9">
        <v>0</v>
      </c>
      <c r="BO3" s="9">
        <v>0.56670669745958435</v>
      </c>
      <c r="BP3" s="9">
        <v>61.857142857142797</v>
      </c>
    </row>
    <row r="4" spans="1:68" s="2" customFormat="1" ht="22.5" customHeight="1">
      <c r="A4" s="4">
        <v>4</v>
      </c>
      <c r="B4" s="5" t="str">
        <v>郑伟峰</v>
      </c>
      <c r="C4" s="5" t="str">
        <v>福州苏宁广场solmo</v>
      </c>
      <c r="D4" s="6">
        <v>0</v>
      </c>
      <c r="E4" s="6">
        <v>0</v>
      </c>
      <c r="F4" s="6">
        <v>0</v>
      </c>
      <c r="G4" s="6">
        <v>0</v>
      </c>
      <c r="H4" s="6">
        <v>46715.8</v>
      </c>
      <c r="I4" s="6">
        <v>2350.2350000000001</v>
      </c>
      <c r="J4" s="6">
        <v>19334.349999999999</v>
      </c>
      <c r="K4" s="6">
        <v>1466.94</v>
      </c>
      <c r="L4" s="6">
        <v>0</v>
      </c>
      <c r="M4" s="6">
        <v>581.35</v>
      </c>
      <c r="N4" s="6">
        <v>16288.4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9">
        <v>82919.899999999994</v>
      </c>
      <c r="AC4" s="9">
        <v>79004.994600000005</v>
      </c>
      <c r="AD4" s="6">
        <v>35286.1</v>
      </c>
      <c r="AE4" s="8">
        <v>0</v>
      </c>
      <c r="AF4" s="8">
        <v>0</v>
      </c>
      <c r="AG4" s="8">
        <v>3510</v>
      </c>
      <c r="AH4" s="8">
        <v>0</v>
      </c>
      <c r="AI4" s="9">
        <v>38796.1</v>
      </c>
      <c r="AJ4" s="11">
        <v>0.46787441856538659</v>
      </c>
      <c r="AK4" s="9">
        <v>0</v>
      </c>
      <c r="AL4" s="11">
        <v>0</v>
      </c>
      <c r="AM4" s="6">
        <v>581.35</v>
      </c>
      <c r="AN4" s="12">
        <v>0</v>
      </c>
      <c r="AO4" s="12">
        <v>113416</v>
      </c>
      <c r="AP4" s="12">
        <v>0</v>
      </c>
      <c r="AQ4" s="12">
        <v>0</v>
      </c>
      <c r="AR4" s="12">
        <v>0</v>
      </c>
      <c r="AS4" s="13">
        <v>113416</v>
      </c>
      <c r="AT4" s="12">
        <v>0</v>
      </c>
      <c r="AU4" s="12">
        <v>0</v>
      </c>
      <c r="AV4" s="12">
        <v>0</v>
      </c>
      <c r="AW4" s="12">
        <v>467904.5</v>
      </c>
      <c r="AX4" s="13">
        <v>467904.5</v>
      </c>
      <c r="AY4" s="12">
        <v>0</v>
      </c>
      <c r="AZ4" s="12">
        <v>2387</v>
      </c>
      <c r="BA4" s="12">
        <v>0</v>
      </c>
      <c r="BB4" s="12">
        <v>0</v>
      </c>
      <c r="BC4" s="12">
        <v>0</v>
      </c>
      <c r="BD4" s="13">
        <v>2387</v>
      </c>
      <c r="BE4" s="12">
        <v>0</v>
      </c>
      <c r="BF4" s="12">
        <v>0</v>
      </c>
      <c r="BG4" s="12">
        <v>5463</v>
      </c>
      <c r="BH4" s="12">
        <v>3123</v>
      </c>
      <c r="BI4" s="12">
        <v>0</v>
      </c>
      <c r="BJ4" s="12">
        <v>0</v>
      </c>
      <c r="BK4" s="12">
        <v>0</v>
      </c>
      <c r="BL4" s="12">
        <v>0</v>
      </c>
      <c r="BM4" s="13">
        <v>5463</v>
      </c>
      <c r="BN4" s="9">
        <v>2.2886468370339301</v>
      </c>
      <c r="BO4" s="9">
        <v>0.73111289412428582</v>
      </c>
      <c r="BP4" s="9">
        <v>47.514034352743998</v>
      </c>
    </row>
    <row r="5" spans="1:68" s="2" customFormat="1" ht="22.5" customHeight="1">
      <c r="A5" s="4">
        <v>5</v>
      </c>
      <c r="B5" s="5" t="str">
        <v>郑伟峰</v>
      </c>
      <c r="C5" s="5" t="str">
        <v>福州X118多径</v>
      </c>
      <c r="D5" s="6">
        <v>245</v>
      </c>
      <c r="E5" s="6">
        <v>4697.8500000000004</v>
      </c>
      <c r="F5" s="6">
        <v>524.9</v>
      </c>
      <c r="G5" s="6">
        <v>5467.75</v>
      </c>
      <c r="H5" s="6">
        <v>5075.55</v>
      </c>
      <c r="I5" s="6">
        <v>253.86</v>
      </c>
      <c r="J5" s="6">
        <v>1437.2</v>
      </c>
      <c r="K5" s="6">
        <v>72</v>
      </c>
      <c r="L5" s="6">
        <v>460.85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9">
        <v>12441.35</v>
      </c>
      <c r="AC5" s="9">
        <v>12081.3884</v>
      </c>
      <c r="AD5" s="6">
        <v>1052</v>
      </c>
      <c r="AE5" s="8">
        <v>0</v>
      </c>
      <c r="AF5" s="8">
        <v>0</v>
      </c>
      <c r="AG5" s="8">
        <v>0</v>
      </c>
      <c r="AH5" s="8">
        <v>0</v>
      </c>
      <c r="AI5" s="9">
        <v>1052</v>
      </c>
      <c r="AJ5" s="11">
        <v>8.4556740225136331E-2</v>
      </c>
      <c r="AK5" s="9">
        <v>0</v>
      </c>
      <c r="AL5" s="11">
        <v>0</v>
      </c>
      <c r="AM5" s="6">
        <v>245</v>
      </c>
      <c r="AN5" s="12">
        <v>17466</v>
      </c>
      <c r="AO5" s="12">
        <v>0</v>
      </c>
      <c r="AP5" s="12">
        <v>3759.5</v>
      </c>
      <c r="AQ5" s="12">
        <v>0</v>
      </c>
      <c r="AR5" s="12">
        <v>0</v>
      </c>
      <c r="AS5" s="13">
        <v>21225.5</v>
      </c>
      <c r="AT5" s="12">
        <v>18148.5</v>
      </c>
      <c r="AU5" s="12">
        <v>0</v>
      </c>
      <c r="AV5" s="12">
        <v>0</v>
      </c>
      <c r="AW5" s="12">
        <v>0</v>
      </c>
      <c r="AX5" s="13">
        <v>18148.5</v>
      </c>
      <c r="AY5" s="12">
        <v>141</v>
      </c>
      <c r="AZ5" s="12">
        <v>0</v>
      </c>
      <c r="BA5" s="12">
        <v>23</v>
      </c>
      <c r="BB5" s="12">
        <v>0</v>
      </c>
      <c r="BC5" s="12">
        <v>0</v>
      </c>
      <c r="BD5" s="13">
        <v>164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3">
        <v>0</v>
      </c>
      <c r="BN5" s="9">
        <v>0</v>
      </c>
      <c r="BO5" s="9">
        <v>0.5861510918470707</v>
      </c>
      <c r="BP5" s="9">
        <v>129.42378048780401</v>
      </c>
    </row>
    <row r="6" spans="1:68" s="2" customFormat="1" ht="22.5" customHeight="1">
      <c r="A6" s="4">
        <v>6</v>
      </c>
      <c r="B6" s="5" t="str">
        <v>郑伟峰</v>
      </c>
      <c r="C6" s="5" t="str">
        <v>东百中心弹珠机</v>
      </c>
      <c r="D6" s="6">
        <v>53.5</v>
      </c>
      <c r="E6" s="6">
        <v>3050.35</v>
      </c>
      <c r="F6" s="6">
        <v>353.35</v>
      </c>
      <c r="G6" s="6">
        <v>3457.2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9">
        <v>3457.2</v>
      </c>
      <c r="AC6" s="9">
        <v>3436.7777999999998</v>
      </c>
      <c r="AD6" s="6">
        <v>40</v>
      </c>
      <c r="AE6" s="8">
        <v>0</v>
      </c>
      <c r="AF6" s="8">
        <v>0</v>
      </c>
      <c r="AG6" s="8">
        <v>2594.25</v>
      </c>
      <c r="AH6" s="8">
        <v>0</v>
      </c>
      <c r="AI6" s="9">
        <v>2634.25</v>
      </c>
      <c r="AJ6" s="11">
        <v>0.76196054610667596</v>
      </c>
      <c r="AK6" s="9">
        <v>0</v>
      </c>
      <c r="AL6" s="11">
        <v>0</v>
      </c>
      <c r="AM6" s="6">
        <v>53.5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3">
        <v>0</v>
      </c>
      <c r="AT6" s="12">
        <v>381044.5</v>
      </c>
      <c r="AU6" s="12">
        <v>0</v>
      </c>
      <c r="AV6" s="12">
        <v>0</v>
      </c>
      <c r="AW6" s="12">
        <v>0</v>
      </c>
      <c r="AX6" s="13">
        <v>381044.5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3">
        <v>0</v>
      </c>
      <c r="BE6" s="12">
        <v>0</v>
      </c>
      <c r="BF6" s="12">
        <v>0</v>
      </c>
      <c r="BG6" s="12">
        <v>2329</v>
      </c>
      <c r="BH6" s="12">
        <v>599.5</v>
      </c>
      <c r="BI6" s="12">
        <v>0</v>
      </c>
      <c r="BJ6" s="12">
        <v>0</v>
      </c>
      <c r="BK6" s="12">
        <v>0</v>
      </c>
      <c r="BL6" s="12">
        <v>0</v>
      </c>
      <c r="BM6" s="13">
        <v>2329</v>
      </c>
      <c r="BN6" s="9">
        <v>0</v>
      </c>
      <c r="BO6" s="9">
        <v>0</v>
      </c>
      <c r="BP6" s="9">
        <v>0</v>
      </c>
    </row>
    <row r="7" spans="1:68" s="2" customFormat="1" ht="16.5" customHeight="1">
      <c r="A7" s="17"/>
      <c r="B7" s="18"/>
      <c r="C7" s="18"/>
      <c r="S7" s="6"/>
      <c r="T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H7" s="19"/>
      <c r="AI7" s="6"/>
      <c r="AJ7" s="19"/>
      <c r="AK7" s="6"/>
      <c r="BG7" s="12"/>
      <c r="BH7" s="6"/>
      <c r="BI7" s="6"/>
      <c r="BJ7" s="6"/>
      <c r="BK7" s="6"/>
      <c r="BL7" s="6"/>
      <c r="BM7" s="6"/>
    </row>
    <row r="8" spans="1:68" s="2" customFormat="1" ht="16.5" customHeight="1">
      <c r="A8" s="17"/>
      <c r="B8" s="18"/>
      <c r="C8" s="18"/>
      <c r="S8" s="6"/>
      <c r="T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H8" s="19"/>
      <c r="AI8" s="6"/>
      <c r="AJ8" s="19"/>
      <c r="AK8" s="6"/>
      <c r="BG8" s="12"/>
      <c r="BH8" s="6"/>
      <c r="BI8" s="6"/>
      <c r="BJ8" s="6"/>
      <c r="BK8" s="6"/>
      <c r="BL8" s="6"/>
      <c r="BM8" s="6"/>
    </row>
    <row r="9" spans="1:68" s="2" customFormat="1" ht="16.5" customHeight="1">
      <c r="A9" s="17"/>
      <c r="B9" s="18"/>
      <c r="C9" s="18"/>
      <c r="S9" s="6"/>
      <c r="T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H9" s="19"/>
      <c r="AI9" s="6"/>
      <c r="AJ9" s="19"/>
      <c r="AK9" s="6"/>
      <c r="BG9" s="12"/>
      <c r="BH9" s="6"/>
      <c r="BI9" s="6"/>
      <c r="BJ9" s="6"/>
      <c r="BK9" s="6"/>
      <c r="BL9" s="6"/>
      <c r="BM9" s="6"/>
    </row>
    <row r="10" spans="1:68" s="2" customFormat="1" ht="16.5" customHeight="1">
      <c r="A10" s="17"/>
      <c r="B10" s="18"/>
      <c r="C10" s="18"/>
      <c r="S10" s="6"/>
      <c r="T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H10" s="19"/>
      <c r="AI10" s="6"/>
      <c r="AJ10" s="19"/>
      <c r="AK10" s="6"/>
      <c r="BG10" s="12"/>
      <c r="BH10" s="6"/>
      <c r="BI10" s="6"/>
      <c r="BJ10" s="6"/>
      <c r="BK10" s="6"/>
      <c r="BL10" s="6"/>
      <c r="BM10" s="6"/>
    </row>
    <row r="11" spans="1:68" s="2" customFormat="1" ht="16.5" customHeight="1">
      <c r="A11" s="17"/>
      <c r="B11" s="18"/>
      <c r="C11" s="18"/>
      <c r="S11" s="6"/>
      <c r="T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H11" s="19"/>
      <c r="AI11" s="6"/>
      <c r="AJ11" s="19"/>
      <c r="AK11" s="6"/>
      <c r="BG11" s="12"/>
      <c r="BH11" s="6"/>
      <c r="BI11" s="6"/>
      <c r="BJ11" s="6"/>
      <c r="BK11" s="6"/>
      <c r="BL11" s="6"/>
      <c r="BM11" s="6"/>
    </row>
    <row r="12" spans="1:68" s="2" customFormat="1" ht="16.5" customHeight="1">
      <c r="A12" s="17"/>
      <c r="B12" s="18"/>
      <c r="C12" s="18"/>
      <c r="S12" s="6"/>
      <c r="T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H12" s="19"/>
      <c r="AI12" s="6"/>
      <c r="AJ12" s="19"/>
      <c r="AK12" s="6"/>
      <c r="BG12" s="12"/>
      <c r="BH12" s="6"/>
      <c r="BI12" s="6"/>
      <c r="BJ12" s="6"/>
      <c r="BK12" s="6"/>
      <c r="BL12" s="6"/>
      <c r="BM12" s="6"/>
    </row>
    <row r="13" spans="1:68" s="2" customFormat="1" ht="16.5" customHeight="1">
      <c r="A13" s="17"/>
      <c r="B13" s="18"/>
      <c r="C13" s="18"/>
      <c r="S13" s="6"/>
      <c r="T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H13" s="19"/>
      <c r="AI13" s="6"/>
      <c r="AJ13" s="19"/>
      <c r="AK13" s="6"/>
      <c r="BG13" s="12"/>
      <c r="BH13" s="6"/>
      <c r="BI13" s="6"/>
      <c r="BJ13" s="6"/>
      <c r="BK13" s="6"/>
      <c r="BL13" s="6"/>
      <c r="BM13" s="6"/>
    </row>
    <row r="14" spans="1:68" s="2" customFormat="1" ht="16.5" customHeight="1">
      <c r="A14" s="17"/>
      <c r="B14" s="18"/>
      <c r="C14" s="18"/>
      <c r="S14" s="6"/>
      <c r="T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H14" s="19"/>
      <c r="AI14" s="6"/>
      <c r="AJ14" s="19"/>
      <c r="AK14" s="6"/>
      <c r="BG14" s="12"/>
      <c r="BH14" s="6"/>
      <c r="BI14" s="6"/>
      <c r="BJ14" s="6"/>
      <c r="BK14" s="6"/>
      <c r="BL14" s="6"/>
      <c r="BM14" s="6"/>
    </row>
    <row r="15" spans="1:68" s="2" customFormat="1" ht="16.5" customHeight="1">
      <c r="A15" s="17"/>
      <c r="B15" s="18"/>
      <c r="C15" s="18"/>
      <c r="S15" s="6"/>
      <c r="T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H15" s="19"/>
      <c r="AI15" s="6"/>
      <c r="AJ15" s="19"/>
      <c r="AK15" s="6"/>
      <c r="BG15" s="12"/>
      <c r="BH15" s="6"/>
      <c r="BI15" s="6"/>
      <c r="BJ15" s="6"/>
      <c r="BK15" s="6"/>
      <c r="BL15" s="6"/>
      <c r="BM15" s="6"/>
    </row>
    <row r="16" spans="1:68" s="2" customFormat="1" ht="16.5" customHeight="1">
      <c r="A16" s="17"/>
      <c r="B16" s="18"/>
      <c r="C16" s="18"/>
      <c r="S16" s="6"/>
      <c r="T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H16" s="19"/>
      <c r="AI16" s="6"/>
      <c r="AJ16" s="19"/>
      <c r="AK16" s="6"/>
      <c r="BG16" s="12"/>
      <c r="BH16" s="6"/>
      <c r="BI16" s="6"/>
      <c r="BJ16" s="6"/>
      <c r="BK16" s="6"/>
      <c r="BL16" s="6"/>
      <c r="BM16" s="6"/>
    </row>
    <row r="17" spans="1:65" s="2" customFormat="1" ht="16.5" customHeight="1">
      <c r="A17" s="17"/>
      <c r="B17" s="18"/>
      <c r="C17" s="18"/>
      <c r="S17" s="6"/>
      <c r="T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H17" s="19"/>
      <c r="AI17" s="6"/>
      <c r="AJ17" s="19"/>
      <c r="AK17" s="6"/>
      <c r="BG17" s="12"/>
      <c r="BH17" s="6"/>
      <c r="BI17" s="6"/>
      <c r="BJ17" s="6"/>
      <c r="BK17" s="6"/>
      <c r="BL17" s="6"/>
      <c r="BM17" s="6"/>
    </row>
    <row r="18" spans="1:65" s="2" customFormat="1" ht="16.5" customHeight="1">
      <c r="A18" s="17"/>
      <c r="B18" s="18"/>
      <c r="C18" s="18"/>
      <c r="S18" s="6"/>
      <c r="T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H18" s="19"/>
      <c r="AI18" s="6"/>
      <c r="AJ18" s="19"/>
      <c r="AK18" s="6"/>
      <c r="BG18" s="12"/>
      <c r="BH18" s="6"/>
      <c r="BI18" s="6"/>
      <c r="BJ18" s="6"/>
      <c r="BK18" s="6"/>
      <c r="BL18" s="6"/>
      <c r="BM18" s="6"/>
    </row>
    <row r="19" spans="1:65" s="2" customFormat="1" ht="16.5" customHeight="1">
      <c r="A19" s="17"/>
      <c r="B19" s="18"/>
      <c r="C19" s="18"/>
      <c r="S19" s="6"/>
      <c r="T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H19" s="19"/>
      <c r="AI19" s="6"/>
      <c r="AJ19" s="19"/>
      <c r="AK19" s="6"/>
      <c r="BG19" s="12"/>
      <c r="BH19" s="6"/>
      <c r="BI19" s="6"/>
      <c r="BJ19" s="6"/>
      <c r="BK19" s="6"/>
      <c r="BL19" s="6"/>
      <c r="BM19" s="6"/>
    </row>
    <row r="20" spans="1:65" s="2" customFormat="1" ht="16.5" customHeight="1">
      <c r="A20" s="17"/>
      <c r="B20" s="18"/>
      <c r="C20" s="18"/>
      <c r="S20" s="6"/>
      <c r="T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H20" s="19"/>
      <c r="AI20" s="6"/>
      <c r="AJ20" s="19"/>
      <c r="AK20" s="6"/>
      <c r="BG20" s="12"/>
      <c r="BH20" s="6"/>
      <c r="BI20" s="6"/>
      <c r="BJ20" s="6"/>
      <c r="BK20" s="6"/>
      <c r="BL20" s="6"/>
      <c r="BM20" s="6"/>
    </row>
    <row r="21" spans="1:65" s="2" customFormat="1" ht="16.5" customHeight="1">
      <c r="A21" s="17"/>
      <c r="B21" s="18"/>
      <c r="C21" s="18"/>
      <c r="S21" s="6"/>
      <c r="T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H21" s="19"/>
      <c r="AI21" s="6"/>
      <c r="AJ21" s="19"/>
      <c r="AK21" s="6"/>
      <c r="BG21" s="12"/>
      <c r="BH21" s="6"/>
      <c r="BI21" s="6"/>
      <c r="BJ21" s="6"/>
      <c r="BK21" s="6"/>
      <c r="BL21" s="6"/>
      <c r="BM21" s="6"/>
    </row>
  </sheetData>
  <phoneticPr fontId="13" type="noConversion"/>
  <conditionalFormatting sqref="AH7:AH21">
    <cfRule type="cellIs" dxfId="10" priority="2" operator="greaterThan">
      <formula>0.45</formula>
    </cfRule>
  </conditionalFormatting>
  <conditionalFormatting sqref="AJ2:AJ6">
    <cfRule type="cellIs" dxfId="9" priority="1" operator="greaterThan">
      <formula>0.45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18"/>
  <sheetViews>
    <sheetView workbookViewId="0"/>
  </sheetViews>
  <sheetFormatPr defaultColWidth="10" defaultRowHeight="15.5"/>
  <cols>
    <col min="1" max="1" width="6.3828125"/>
    <col min="2" max="2" width="9"/>
    <col min="3" max="3" width="16.84375"/>
    <col min="4" max="5" width="11.61328125"/>
    <col min="6" max="7" width="14.23046875"/>
    <col min="8" max="8" width="11.61328125"/>
    <col min="9" max="9" width="14.23046875"/>
    <col min="10" max="10" width="11.61328125"/>
    <col min="11" max="13" width="14.23046875"/>
    <col min="14" max="14" width="16.84375"/>
    <col min="15" max="15" width="14.23046875"/>
    <col min="16" max="16" width="11.61328125"/>
    <col min="17" max="17" width="14.23046875"/>
    <col min="18" max="18" width="19"/>
    <col min="19" max="19" width="16.3828125"/>
    <col min="20" max="20" width="14.23046875"/>
    <col min="21" max="21" width="11.61328125"/>
    <col min="22" max="22" width="16.84375"/>
    <col min="23" max="23" width="11.61328125"/>
    <col min="24" max="24" width="12.15234375"/>
    <col min="25" max="25" width="16.84375"/>
    <col min="26" max="26" width="11.61328125"/>
    <col min="27" max="27" width="21.61328125"/>
    <col min="28" max="28" width="16.84375"/>
    <col min="29" max="29" width="19.4609375"/>
    <col min="30" max="30" width="16.84375"/>
    <col min="31" max="31" width="10.921875"/>
    <col min="32" max="32" width="11.15234375"/>
    <col min="33" max="33" width="18.3828125"/>
    <col min="34" max="34" width="16.84375"/>
    <col min="35" max="35" width="10.921875"/>
    <col min="36" max="36" width="11.61328125"/>
    <col min="37" max="38" width="14.23046875"/>
    <col min="39" max="39" width="16.3828125"/>
    <col min="40" max="42" width="11.61328125"/>
    <col min="43" max="43" width="16.3828125"/>
    <col min="44" max="44" width="11.61328125"/>
    <col min="45" max="45" width="14.23046875"/>
    <col min="46" max="47" width="11.61328125"/>
    <col min="48" max="49" width="14.23046875"/>
    <col min="50" max="50" width="16.3828125"/>
    <col min="51" max="52" width="11.61328125"/>
    <col min="53" max="54" width="16.84375"/>
    <col min="55" max="56" width="19.4609375"/>
    <col min="57" max="58" width="21.61328125"/>
    <col min="59" max="60" width="16.84375"/>
    <col min="61" max="61" width="11.61328125"/>
    <col min="62" max="62" width="32.61328125"/>
    <col min="63" max="63" width="27.3828125"/>
    <col min="64" max="64" width="30" style="15"/>
  </cols>
  <sheetData>
    <row r="1" spans="1:68" s="1" customFormat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7" t="s">
        <v>19</v>
      </c>
      <c r="U1" s="4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4" t="s">
        <v>34</v>
      </c>
      <c r="AJ1" s="4" t="s">
        <v>35</v>
      </c>
      <c r="AK1" s="7" t="s">
        <v>36</v>
      </c>
      <c r="AL1" s="10" t="s">
        <v>37</v>
      </c>
      <c r="AM1" s="7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14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</row>
    <row r="2" spans="1:68" s="2" customFormat="1" ht="22.5" customHeight="1">
      <c r="A2" s="4">
        <f t="array" ref="A2:BP3">_xlfn._xlws.FILTER(Sheet1!A:BP,Sheet1!B:B="梁志成")</f>
        <v>25</v>
      </c>
      <c r="B2" s="5" t="str">
        <v>梁志成</v>
      </c>
      <c r="C2" s="5" t="str">
        <v>香港宝林FF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111837.5</v>
      </c>
      <c r="S2" s="6">
        <v>70945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9">
        <v>182782.5</v>
      </c>
      <c r="AC2" s="9">
        <v>182782.5</v>
      </c>
      <c r="AD2" s="6">
        <v>83532.714999999997</v>
      </c>
      <c r="AE2" s="8">
        <v>16811</v>
      </c>
      <c r="AF2" s="8">
        <v>0</v>
      </c>
      <c r="AG2" s="8">
        <v>0</v>
      </c>
      <c r="AH2" s="8">
        <v>0</v>
      </c>
      <c r="AI2" s="9">
        <v>100343.715</v>
      </c>
      <c r="AJ2" s="11">
        <v>0.54897878626236096</v>
      </c>
      <c r="AK2" s="9">
        <v>0</v>
      </c>
      <c r="AL2" s="11">
        <v>0</v>
      </c>
      <c r="AM2" s="6">
        <v>70945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3">
        <v>0</v>
      </c>
      <c r="AT2" s="12">
        <v>0</v>
      </c>
      <c r="AU2" s="12">
        <v>371008.5</v>
      </c>
      <c r="AV2" s="12">
        <v>0</v>
      </c>
      <c r="AW2" s="12">
        <v>0</v>
      </c>
      <c r="AX2" s="13">
        <v>371008.5</v>
      </c>
      <c r="AY2" s="12">
        <v>0</v>
      </c>
      <c r="AZ2" s="12">
        <v>0</v>
      </c>
      <c r="BA2" s="12">
        <v>0</v>
      </c>
      <c r="BB2" s="12">
        <v>5049.5</v>
      </c>
      <c r="BC2" s="12">
        <v>0</v>
      </c>
      <c r="BD2" s="13">
        <v>5049.5</v>
      </c>
      <c r="BE2" s="12">
        <v>0</v>
      </c>
      <c r="BF2" s="12">
        <v>0</v>
      </c>
      <c r="BG2" s="12">
        <v>0</v>
      </c>
      <c r="BH2" s="12">
        <v>0</v>
      </c>
      <c r="BI2" s="12">
        <v>45565.32</v>
      </c>
      <c r="BJ2" s="12">
        <v>28754.32</v>
      </c>
      <c r="BK2" s="12">
        <v>0</v>
      </c>
      <c r="BL2" s="12">
        <v>0</v>
      </c>
      <c r="BM2" s="13">
        <v>45565.32</v>
      </c>
      <c r="BN2" s="9">
        <v>9.0237290820873302</v>
      </c>
      <c r="BO2" s="9">
        <v>0</v>
      </c>
      <c r="BP2" s="9">
        <v>0</v>
      </c>
    </row>
    <row r="3" spans="1:68" s="2" customFormat="1" ht="22.5" customHeight="1">
      <c r="A3" s="4">
        <v>26</v>
      </c>
      <c r="B3" s="5" t="str">
        <v>梁志成</v>
      </c>
      <c r="C3" s="5" t="str">
        <v>香港将军澳店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3568</v>
      </c>
      <c r="N3" s="6">
        <v>0</v>
      </c>
      <c r="O3" s="6">
        <v>0</v>
      </c>
      <c r="P3" s="6">
        <v>0</v>
      </c>
      <c r="Q3" s="6">
        <v>0</v>
      </c>
      <c r="R3" s="6">
        <v>4885</v>
      </c>
      <c r="S3" s="6">
        <v>7345</v>
      </c>
      <c r="T3" s="8">
        <v>0</v>
      </c>
      <c r="U3" s="8">
        <v>0</v>
      </c>
      <c r="V3" s="8">
        <v>18309.5</v>
      </c>
      <c r="W3" s="8">
        <v>263.64999999999998</v>
      </c>
      <c r="X3" s="8">
        <v>3909.5</v>
      </c>
      <c r="Y3" s="8">
        <v>0</v>
      </c>
      <c r="Z3" s="8">
        <v>0</v>
      </c>
      <c r="AA3" s="8">
        <v>0</v>
      </c>
      <c r="AB3" s="9">
        <v>38017</v>
      </c>
      <c r="AC3" s="9">
        <v>37753.35</v>
      </c>
      <c r="AD3" s="6">
        <v>44957.440000000002</v>
      </c>
      <c r="AE3" s="8">
        <v>0</v>
      </c>
      <c r="AF3" s="8">
        <v>0</v>
      </c>
      <c r="AG3" s="8">
        <v>0</v>
      </c>
      <c r="AH3" s="8">
        <v>0</v>
      </c>
      <c r="AI3" s="9">
        <v>44957.440000000002</v>
      </c>
      <c r="AJ3" s="11">
        <v>1.1825614856511562</v>
      </c>
      <c r="AK3" s="9">
        <v>0</v>
      </c>
      <c r="AL3" s="11">
        <v>0</v>
      </c>
      <c r="AM3" s="6">
        <v>10913</v>
      </c>
      <c r="AN3" s="12">
        <v>0</v>
      </c>
      <c r="AO3" s="12">
        <v>37247.5</v>
      </c>
      <c r="AP3" s="12">
        <v>0</v>
      </c>
      <c r="AQ3" s="12">
        <v>0</v>
      </c>
      <c r="AR3" s="12">
        <v>0</v>
      </c>
      <c r="AS3" s="13">
        <v>37247.5</v>
      </c>
      <c r="AT3" s="12">
        <v>0</v>
      </c>
      <c r="AU3" s="12">
        <v>0</v>
      </c>
      <c r="AV3" s="12">
        <v>0</v>
      </c>
      <c r="AW3" s="12">
        <v>0</v>
      </c>
      <c r="AX3" s="13">
        <v>0</v>
      </c>
      <c r="AY3" s="12">
        <v>0</v>
      </c>
      <c r="AZ3" s="12">
        <v>1435</v>
      </c>
      <c r="BA3" s="12">
        <v>0</v>
      </c>
      <c r="BB3" s="12">
        <v>0</v>
      </c>
      <c r="BC3" s="12">
        <v>0</v>
      </c>
      <c r="BD3" s="13">
        <v>1435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3">
        <v>0</v>
      </c>
      <c r="BN3" s="9">
        <v>0</v>
      </c>
      <c r="BO3" s="9">
        <v>1.0206591046378952</v>
      </c>
      <c r="BP3" s="9">
        <v>25.956445993031299</v>
      </c>
    </row>
    <row r="4" spans="1:68" s="2" customFormat="1" ht="16.5" customHeight="1">
      <c r="A4" s="17"/>
      <c r="B4" s="18"/>
      <c r="C4" s="18"/>
      <c r="S4" s="6"/>
      <c r="T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H4" s="19"/>
      <c r="AI4" s="6"/>
      <c r="AJ4" s="19"/>
      <c r="AK4" s="6"/>
      <c r="BG4" s="12"/>
      <c r="BH4" s="6"/>
      <c r="BI4" s="6"/>
      <c r="BJ4" s="6"/>
      <c r="BK4" s="6"/>
      <c r="BL4" s="6"/>
      <c r="BM4" s="6"/>
    </row>
    <row r="5" spans="1:68" s="2" customFormat="1" ht="16.5" customHeight="1">
      <c r="A5" s="17"/>
      <c r="B5" s="18"/>
      <c r="C5" s="18"/>
      <c r="S5" s="6"/>
      <c r="T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H5" s="19"/>
      <c r="AI5" s="6"/>
      <c r="AJ5" s="19"/>
      <c r="AK5" s="6"/>
      <c r="BG5" s="12"/>
      <c r="BH5" s="6"/>
      <c r="BI5" s="6"/>
      <c r="BJ5" s="6"/>
      <c r="BK5" s="6"/>
      <c r="BL5" s="6"/>
      <c r="BM5" s="6"/>
    </row>
    <row r="6" spans="1:68" s="2" customFormat="1" ht="16.5" customHeight="1">
      <c r="A6" s="17"/>
      <c r="B6" s="18"/>
      <c r="C6" s="18"/>
      <c r="S6" s="6"/>
      <c r="T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H6" s="19"/>
      <c r="AI6" s="6"/>
      <c r="AJ6" s="19"/>
      <c r="AK6" s="6"/>
      <c r="BG6" s="12"/>
      <c r="BH6" s="6"/>
      <c r="BI6" s="6"/>
      <c r="BJ6" s="6"/>
      <c r="BK6" s="6"/>
      <c r="BL6" s="6"/>
      <c r="BM6" s="6"/>
    </row>
    <row r="7" spans="1:68" s="2" customFormat="1" ht="16.5" customHeight="1">
      <c r="A7" s="17"/>
      <c r="B7" s="18"/>
      <c r="C7" s="18"/>
      <c r="S7" s="6"/>
      <c r="T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H7" s="19"/>
      <c r="AI7" s="6"/>
      <c r="AJ7" s="19"/>
      <c r="AK7" s="6"/>
      <c r="BG7" s="12"/>
      <c r="BH7" s="6"/>
      <c r="BI7" s="6"/>
      <c r="BJ7" s="6"/>
      <c r="BK7" s="6"/>
      <c r="BL7" s="6"/>
      <c r="BM7" s="6"/>
    </row>
    <row r="8" spans="1:68" s="2" customFormat="1" ht="16.5" customHeight="1">
      <c r="A8" s="17"/>
      <c r="B8" s="18"/>
      <c r="C8" s="18"/>
      <c r="S8" s="6"/>
      <c r="T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H8" s="19"/>
      <c r="AI8" s="6"/>
      <c r="AJ8" s="19"/>
      <c r="AK8" s="6"/>
      <c r="BG8" s="12"/>
      <c r="BH8" s="6"/>
      <c r="BI8" s="6"/>
      <c r="BJ8" s="6"/>
      <c r="BK8" s="6"/>
      <c r="BL8" s="6"/>
      <c r="BM8" s="6"/>
    </row>
    <row r="9" spans="1:68" s="2" customFormat="1" ht="16.5" customHeight="1">
      <c r="A9" s="17"/>
      <c r="B9" s="18"/>
      <c r="C9" s="18"/>
      <c r="S9" s="6"/>
      <c r="T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H9" s="19"/>
      <c r="AI9" s="6"/>
      <c r="AJ9" s="19"/>
      <c r="AK9" s="6"/>
      <c r="BG9" s="12"/>
      <c r="BH9" s="6"/>
      <c r="BI9" s="6"/>
      <c r="BJ9" s="6"/>
      <c r="BK9" s="6"/>
      <c r="BL9" s="6"/>
      <c r="BM9" s="6"/>
    </row>
    <row r="10" spans="1:68" s="2" customFormat="1" ht="16.5" customHeight="1">
      <c r="A10" s="17"/>
      <c r="B10" s="18"/>
      <c r="C10" s="18"/>
      <c r="S10" s="6"/>
      <c r="T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H10" s="19"/>
      <c r="AI10" s="6"/>
      <c r="AJ10" s="19"/>
      <c r="AK10" s="6"/>
      <c r="BG10" s="12"/>
      <c r="BH10" s="6"/>
      <c r="BI10" s="6"/>
      <c r="BJ10" s="6"/>
      <c r="BK10" s="6"/>
      <c r="BL10" s="6"/>
      <c r="BM10" s="6"/>
    </row>
    <row r="11" spans="1:68" s="2" customFormat="1" ht="16.5" customHeight="1">
      <c r="A11" s="17"/>
      <c r="B11" s="18"/>
      <c r="C11" s="18"/>
      <c r="S11" s="6"/>
      <c r="T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H11" s="19"/>
      <c r="AI11" s="6"/>
      <c r="AJ11" s="19"/>
      <c r="AK11" s="6"/>
      <c r="BG11" s="12"/>
      <c r="BH11" s="6"/>
      <c r="BI11" s="6"/>
      <c r="BJ11" s="6"/>
      <c r="BK11" s="6"/>
      <c r="BL11" s="6"/>
      <c r="BM11" s="6"/>
    </row>
    <row r="12" spans="1:68" s="2" customFormat="1" ht="16.5" customHeight="1">
      <c r="A12" s="17"/>
      <c r="B12" s="18"/>
      <c r="C12" s="18"/>
      <c r="S12" s="6"/>
      <c r="T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H12" s="19"/>
      <c r="AI12" s="6"/>
      <c r="AJ12" s="19"/>
      <c r="AK12" s="6"/>
      <c r="BG12" s="12"/>
      <c r="BH12" s="6"/>
      <c r="BI12" s="6"/>
      <c r="BJ12" s="6"/>
      <c r="BK12" s="6"/>
      <c r="BL12" s="6"/>
      <c r="BM12" s="6"/>
    </row>
    <row r="13" spans="1:68" s="2" customFormat="1" ht="16.5" customHeight="1">
      <c r="A13" s="17"/>
      <c r="B13" s="18"/>
      <c r="C13" s="18"/>
      <c r="S13" s="6"/>
      <c r="T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H13" s="19"/>
      <c r="AI13" s="6"/>
      <c r="AJ13" s="19"/>
      <c r="AK13" s="6"/>
      <c r="BG13" s="12"/>
      <c r="BH13" s="6"/>
      <c r="BI13" s="6"/>
      <c r="BJ13" s="6"/>
      <c r="BK13" s="6"/>
      <c r="BL13" s="6"/>
      <c r="BM13" s="6"/>
    </row>
    <row r="14" spans="1:68" s="2" customFormat="1" ht="16.5" customHeight="1">
      <c r="A14" s="17"/>
      <c r="B14" s="18"/>
      <c r="C14" s="18"/>
      <c r="S14" s="6"/>
      <c r="T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H14" s="19"/>
      <c r="AI14" s="6"/>
      <c r="AJ14" s="19"/>
      <c r="AK14" s="6"/>
      <c r="BG14" s="12"/>
      <c r="BH14" s="6"/>
      <c r="BI14" s="6"/>
      <c r="BJ14" s="6"/>
      <c r="BK14" s="6"/>
      <c r="BL14" s="6"/>
      <c r="BM14" s="6"/>
    </row>
    <row r="15" spans="1:68" s="2" customFormat="1" ht="16.5" customHeight="1">
      <c r="A15" s="17"/>
      <c r="B15" s="18"/>
      <c r="C15" s="18"/>
      <c r="S15" s="6"/>
      <c r="T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H15" s="19"/>
      <c r="AI15" s="6"/>
      <c r="AJ15" s="19"/>
      <c r="AK15" s="6"/>
      <c r="BG15" s="12"/>
      <c r="BH15" s="6"/>
      <c r="BI15" s="6"/>
      <c r="BJ15" s="6"/>
      <c r="BK15" s="6"/>
      <c r="BL15" s="6"/>
      <c r="BM15" s="6"/>
    </row>
    <row r="16" spans="1:68" s="2" customFormat="1" ht="16.5" customHeight="1">
      <c r="A16" s="17"/>
      <c r="B16" s="18"/>
      <c r="C16" s="18"/>
      <c r="S16" s="6"/>
      <c r="T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H16" s="19"/>
      <c r="AI16" s="6"/>
      <c r="AJ16" s="19"/>
      <c r="AK16" s="6"/>
      <c r="BG16" s="12"/>
      <c r="BH16" s="6"/>
      <c r="BI16" s="6"/>
      <c r="BJ16" s="6"/>
      <c r="BK16" s="6"/>
      <c r="BL16" s="6"/>
      <c r="BM16" s="6"/>
    </row>
    <row r="17" spans="1:65" s="2" customFormat="1" ht="16.5" customHeight="1">
      <c r="A17" s="17"/>
      <c r="B17" s="18"/>
      <c r="C17" s="18"/>
      <c r="S17" s="6"/>
      <c r="T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H17" s="19"/>
      <c r="AI17" s="6"/>
      <c r="AJ17" s="19"/>
      <c r="AK17" s="6"/>
      <c r="BG17" s="12"/>
      <c r="BH17" s="6"/>
      <c r="BI17" s="6"/>
      <c r="BJ17" s="6"/>
      <c r="BK17" s="6"/>
      <c r="BL17" s="6"/>
      <c r="BM17" s="6"/>
    </row>
    <row r="18" spans="1:65" s="2" customFormat="1" ht="16.5" customHeight="1">
      <c r="A18" s="17"/>
      <c r="B18" s="18"/>
      <c r="C18" s="18"/>
      <c r="S18" s="6"/>
      <c r="T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H18" s="19"/>
      <c r="AI18" s="6"/>
      <c r="AJ18" s="19"/>
      <c r="AK18" s="6"/>
      <c r="BG18" s="12"/>
      <c r="BH18" s="6"/>
      <c r="BI18" s="6"/>
      <c r="BJ18" s="6"/>
      <c r="BK18" s="6"/>
      <c r="BL18" s="6"/>
      <c r="BM18" s="6"/>
    </row>
  </sheetData>
  <phoneticPr fontId="13" type="noConversion"/>
  <conditionalFormatting sqref="AH4:AH18">
    <cfRule type="cellIs" dxfId="8" priority="1" operator="greaterThan">
      <formula>0.45</formula>
    </cfRule>
  </conditionalFormatting>
  <conditionalFormatting sqref="AJ2:AJ3">
    <cfRule type="cellIs" dxfId="7" priority="2" operator="greaterThan">
      <formula>0.45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P22"/>
  <sheetViews>
    <sheetView workbookViewId="0"/>
  </sheetViews>
  <sheetFormatPr defaultColWidth="10" defaultRowHeight="20"/>
  <cols>
    <col min="1" max="1" width="6.3828125"/>
    <col min="2" max="2" width="9"/>
    <col min="3" max="3" width="40.23046875"/>
    <col min="4" max="5" width="12.765625"/>
    <col min="6" max="9" width="14.23046875"/>
    <col min="10" max="10" width="12.765625"/>
    <col min="11" max="13" width="14.23046875"/>
    <col min="14" max="14" width="16.84375"/>
    <col min="15" max="15" width="14.23046875"/>
    <col min="16" max="16" width="11.61328125"/>
    <col min="17" max="17" width="14.23046875"/>
    <col min="18" max="18" width="21.61328125"/>
    <col min="19" max="19" width="19"/>
    <col min="20" max="20" width="14.23046875"/>
    <col min="21" max="21" width="11.61328125"/>
    <col min="22" max="22" width="16.84375"/>
    <col min="23" max="23" width="11.61328125"/>
    <col min="24" max="24" width="14.23046875"/>
    <col min="25" max="25" width="16.84375"/>
    <col min="26" max="26" width="14.23046875"/>
    <col min="27" max="27" width="24.3046875"/>
    <col min="28" max="28" width="16.84375"/>
    <col min="29" max="29" width="19.4609375"/>
    <col min="30" max="30" width="16.84375"/>
    <col min="31" max="31" width="14.23046875"/>
    <col min="32" max="32" width="11.53515625"/>
    <col min="33" max="33" width="18.84375"/>
    <col min="34" max="34" width="16.84375"/>
    <col min="35" max="35" width="12.765625"/>
    <col min="36" max="36" width="11.61328125"/>
    <col min="37" max="38" width="14.23046875"/>
    <col min="39" max="39" width="19"/>
    <col min="40" max="42" width="11.61328125"/>
    <col min="43" max="43" width="19"/>
    <col min="44" max="44" width="11.61328125"/>
    <col min="45" max="45" width="14.23046875"/>
    <col min="46" max="46" width="12.765625"/>
    <col min="47" max="47" width="11.61328125"/>
    <col min="48" max="49" width="14.23046875"/>
    <col min="50" max="50" width="19"/>
    <col min="51" max="52" width="11.61328125"/>
    <col min="53" max="54" width="16.84375"/>
    <col min="55" max="56" width="19.4609375"/>
    <col min="57" max="58" width="24.3046875"/>
    <col min="59" max="60" width="16.84375"/>
    <col min="61" max="61" width="11.61328125"/>
    <col min="62" max="62" width="32.61328125"/>
    <col min="63" max="63" width="27.3828125"/>
    <col min="64" max="64" width="30" style="3"/>
  </cols>
  <sheetData>
    <row r="1" spans="1:68" s="1" customFormat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7" t="s">
        <v>19</v>
      </c>
      <c r="U1" s="4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4" t="s">
        <v>32</v>
      </c>
      <c r="AH1" s="4" t="s">
        <v>33</v>
      </c>
      <c r="AI1" s="7" t="s">
        <v>34</v>
      </c>
      <c r="AJ1" s="10" t="s">
        <v>35</v>
      </c>
      <c r="AK1" s="7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4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1" t="s">
        <v>66</v>
      </c>
      <c r="BP1" s="1" t="s">
        <v>67</v>
      </c>
    </row>
    <row r="2" spans="1:68" s="2" customFormat="1" ht="22.5" customHeight="1">
      <c r="A2" s="4">
        <f t="array" ref="A2:BP16">_xlfn._xlws.FILTER(Sheet1!A:BP,Sheet1!B:B="方小丹")</f>
        <v>7</v>
      </c>
      <c r="B2" s="5" t="str">
        <v>方小丹</v>
      </c>
      <c r="C2" s="5" t="str">
        <v>广州悦汇城负一</v>
      </c>
      <c r="D2" s="6">
        <v>2217.5</v>
      </c>
      <c r="E2" s="6">
        <v>28043.45</v>
      </c>
      <c r="F2" s="6">
        <v>5652.75</v>
      </c>
      <c r="G2" s="6">
        <v>35913.699999999997</v>
      </c>
      <c r="H2" s="6">
        <v>14.75</v>
      </c>
      <c r="I2" s="6">
        <v>0.74</v>
      </c>
      <c r="J2" s="6">
        <v>14355.55</v>
      </c>
      <c r="K2" s="6">
        <v>719.3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9">
        <v>-589.6</v>
      </c>
      <c r="AA2" s="9">
        <v>0</v>
      </c>
      <c r="AB2" s="6">
        <v>49694.400000000001</v>
      </c>
      <c r="AC2" s="8">
        <v>48772.182800000002</v>
      </c>
      <c r="AD2" s="8">
        <v>12587.79</v>
      </c>
      <c r="AE2" s="8">
        <v>0</v>
      </c>
      <c r="AF2" s="8">
        <v>0</v>
      </c>
      <c r="AG2" s="9">
        <v>-756.75</v>
      </c>
      <c r="AH2" s="11">
        <v>0</v>
      </c>
      <c r="AI2" s="9">
        <v>11831.04</v>
      </c>
      <c r="AJ2" s="11">
        <v>0.2380759200231817</v>
      </c>
      <c r="AK2" s="6">
        <v>0</v>
      </c>
      <c r="AL2" s="12">
        <v>0</v>
      </c>
      <c r="AM2" s="12">
        <v>2217.5</v>
      </c>
      <c r="AN2" s="12">
        <v>99062</v>
      </c>
      <c r="AO2" s="12">
        <v>0</v>
      </c>
      <c r="AP2" s="12">
        <v>0</v>
      </c>
      <c r="AQ2" s="13">
        <v>0</v>
      </c>
      <c r="AR2" s="12">
        <v>0</v>
      </c>
      <c r="AS2" s="12">
        <v>99062</v>
      </c>
      <c r="AT2" s="12">
        <v>88889.5</v>
      </c>
      <c r="AU2" s="12">
        <v>0</v>
      </c>
      <c r="AV2" s="13">
        <v>0</v>
      </c>
      <c r="AW2" s="12">
        <v>0</v>
      </c>
      <c r="AX2" s="12">
        <v>88889.5</v>
      </c>
      <c r="AY2" s="12">
        <v>2640</v>
      </c>
      <c r="AZ2" s="12">
        <v>0</v>
      </c>
      <c r="BA2" s="12">
        <v>0</v>
      </c>
      <c r="BB2" s="13">
        <v>0</v>
      </c>
      <c r="BC2" s="12">
        <v>0</v>
      </c>
      <c r="BD2" s="12">
        <v>2640</v>
      </c>
      <c r="BE2" s="12">
        <v>0</v>
      </c>
      <c r="BF2" s="12">
        <v>0</v>
      </c>
      <c r="BG2" s="12">
        <v>2319.5</v>
      </c>
      <c r="BH2" s="12">
        <v>2824</v>
      </c>
      <c r="BI2" s="12">
        <v>0</v>
      </c>
      <c r="BJ2" s="12">
        <v>0</v>
      </c>
      <c r="BK2" s="13">
        <v>0</v>
      </c>
      <c r="BL2" s="9">
        <v>0</v>
      </c>
      <c r="BM2" s="9">
        <v>2319.5</v>
      </c>
      <c r="BN2" s="9">
        <v>0.87859848484848402</v>
      </c>
      <c r="BO2" s="2">
        <v>0.50164947204780841</v>
      </c>
      <c r="BP2" s="2">
        <v>37.523484848484799</v>
      </c>
    </row>
    <row r="3" spans="1:68" s="2" customFormat="1" ht="22.5" customHeight="1">
      <c r="A3" s="4">
        <v>8</v>
      </c>
      <c r="B3" s="5" t="str">
        <v>方小丹</v>
      </c>
      <c r="C3" s="5" t="str">
        <v>江门台山万达</v>
      </c>
      <c r="D3" s="6">
        <v>1626</v>
      </c>
      <c r="E3" s="6">
        <v>14033.8</v>
      </c>
      <c r="F3" s="6">
        <v>1835.5</v>
      </c>
      <c r="G3" s="6">
        <v>17495.3</v>
      </c>
      <c r="H3" s="6">
        <v>10002</v>
      </c>
      <c r="I3" s="6">
        <v>508.16500000000002</v>
      </c>
      <c r="J3" s="6">
        <v>6036.3</v>
      </c>
      <c r="K3" s="6">
        <v>302.44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9">
        <v>-67.924999999999997</v>
      </c>
      <c r="AA3" s="9">
        <v>0</v>
      </c>
      <c r="AB3" s="6">
        <v>33465.674999999996</v>
      </c>
      <c r="AC3" s="8">
        <v>32559.854200000002</v>
      </c>
      <c r="AD3" s="8">
        <v>10588.75</v>
      </c>
      <c r="AE3" s="8">
        <v>0</v>
      </c>
      <c r="AF3" s="8">
        <v>0</v>
      </c>
      <c r="AG3" s="9">
        <v>480</v>
      </c>
      <c r="AH3" s="11">
        <v>0</v>
      </c>
      <c r="AI3" s="9">
        <v>11068.75</v>
      </c>
      <c r="AJ3" s="11">
        <v>0.33074934242324416</v>
      </c>
      <c r="AK3" s="6">
        <v>0</v>
      </c>
      <c r="AL3" s="12">
        <v>0</v>
      </c>
      <c r="AM3" s="12">
        <v>1626</v>
      </c>
      <c r="AN3" s="12">
        <v>62416.5</v>
      </c>
      <c r="AO3" s="12">
        <v>0</v>
      </c>
      <c r="AP3" s="12">
        <v>0</v>
      </c>
      <c r="AQ3" s="13">
        <v>0</v>
      </c>
      <c r="AR3" s="12">
        <v>0</v>
      </c>
      <c r="AS3" s="12">
        <v>62416.5</v>
      </c>
      <c r="AT3" s="12">
        <v>80520.5</v>
      </c>
      <c r="AU3" s="12">
        <v>0</v>
      </c>
      <c r="AV3" s="13">
        <v>0</v>
      </c>
      <c r="AW3" s="12">
        <v>0</v>
      </c>
      <c r="AX3" s="12">
        <v>80520.5</v>
      </c>
      <c r="AY3" s="12">
        <v>1845</v>
      </c>
      <c r="AZ3" s="12">
        <v>0</v>
      </c>
      <c r="BA3" s="12">
        <v>0</v>
      </c>
      <c r="BB3" s="13">
        <v>0</v>
      </c>
      <c r="BC3" s="12">
        <v>0</v>
      </c>
      <c r="BD3" s="12">
        <v>1845</v>
      </c>
      <c r="BE3" s="12">
        <v>0</v>
      </c>
      <c r="BF3" s="12">
        <v>0</v>
      </c>
      <c r="BG3" s="12">
        <v>1657.5</v>
      </c>
      <c r="BH3" s="12">
        <v>1337.5</v>
      </c>
      <c r="BI3" s="12">
        <v>0</v>
      </c>
      <c r="BJ3" s="12">
        <v>0</v>
      </c>
      <c r="BK3" s="13">
        <v>0</v>
      </c>
      <c r="BL3" s="9">
        <v>0</v>
      </c>
      <c r="BM3" s="9">
        <v>1657.5</v>
      </c>
      <c r="BN3" s="9">
        <v>0.89837398373983701</v>
      </c>
      <c r="BO3" s="2">
        <v>0.53616711927134642</v>
      </c>
      <c r="BP3" s="2">
        <v>33.830081300812999</v>
      </c>
    </row>
    <row r="4" spans="1:68" s="2" customFormat="1" ht="22.5" customHeight="1">
      <c r="A4" s="4">
        <v>9</v>
      </c>
      <c r="B4" s="5" t="str">
        <v>方小丹</v>
      </c>
      <c r="C4" s="5" t="str">
        <v>广州保利时光里</v>
      </c>
      <c r="D4" s="6">
        <v>3546.3</v>
      </c>
      <c r="E4" s="6">
        <v>27647.3</v>
      </c>
      <c r="F4" s="6">
        <v>3075.95</v>
      </c>
      <c r="G4" s="6">
        <v>34269.550000000003</v>
      </c>
      <c r="H4" s="6">
        <v>14166.95</v>
      </c>
      <c r="I4" s="6">
        <v>710.22500000000002</v>
      </c>
      <c r="J4" s="6">
        <v>8825.4</v>
      </c>
      <c r="K4" s="6">
        <v>442.25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9">
        <v>720.5</v>
      </c>
      <c r="AA4" s="9">
        <v>0</v>
      </c>
      <c r="AB4" s="6">
        <v>57982.400000000001</v>
      </c>
      <c r="AC4" s="8">
        <v>56645.585500000001</v>
      </c>
      <c r="AD4" s="8">
        <v>16649.55</v>
      </c>
      <c r="AE4" s="8">
        <v>0</v>
      </c>
      <c r="AF4" s="8">
        <v>0</v>
      </c>
      <c r="AG4" s="9">
        <v>0</v>
      </c>
      <c r="AH4" s="11">
        <v>2414.25</v>
      </c>
      <c r="AI4" s="9">
        <v>19063.8</v>
      </c>
      <c r="AJ4" s="11">
        <v>0.3287859764342283</v>
      </c>
      <c r="AK4" s="6">
        <v>0</v>
      </c>
      <c r="AL4" s="12">
        <v>0</v>
      </c>
      <c r="AM4" s="12">
        <v>3546.3</v>
      </c>
      <c r="AN4" s="12">
        <v>97847.5</v>
      </c>
      <c r="AO4" s="12">
        <v>0</v>
      </c>
      <c r="AP4" s="12">
        <v>0</v>
      </c>
      <c r="AQ4" s="13">
        <v>0</v>
      </c>
      <c r="AR4" s="12">
        <v>0</v>
      </c>
      <c r="AS4" s="12">
        <v>97847.5</v>
      </c>
      <c r="AT4" s="12">
        <v>99388</v>
      </c>
      <c r="AU4" s="12">
        <v>0</v>
      </c>
      <c r="AV4" s="13">
        <v>0</v>
      </c>
      <c r="AW4" s="12">
        <v>0</v>
      </c>
      <c r="AX4" s="12">
        <v>99388</v>
      </c>
      <c r="AY4" s="12">
        <v>2932</v>
      </c>
      <c r="AZ4" s="12">
        <v>0</v>
      </c>
      <c r="BA4" s="12">
        <v>0</v>
      </c>
      <c r="BB4" s="13">
        <v>0</v>
      </c>
      <c r="BC4" s="12">
        <v>0</v>
      </c>
      <c r="BD4" s="12">
        <v>2932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3">
        <v>6218.5</v>
      </c>
      <c r="BL4" s="9">
        <v>4609</v>
      </c>
      <c r="BM4" s="9">
        <v>6218.5</v>
      </c>
      <c r="BN4" s="9">
        <v>2.1209072305593399</v>
      </c>
      <c r="BO4" s="2">
        <v>0.59257926876006028</v>
      </c>
      <c r="BP4" s="2">
        <v>33.372271487039498</v>
      </c>
    </row>
    <row r="5" spans="1:68" s="2" customFormat="1" ht="22.5" customHeight="1">
      <c r="A5" s="4">
        <v>10</v>
      </c>
      <c r="B5" s="5" t="str">
        <v>方小丹</v>
      </c>
      <c r="C5" s="5" t="str">
        <v>广州南沙悦方城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9">
        <v>0</v>
      </c>
      <c r="AA5" s="9">
        <v>0</v>
      </c>
      <c r="AB5" s="6">
        <v>0</v>
      </c>
      <c r="AC5" s="8">
        <v>0</v>
      </c>
      <c r="AD5" s="8">
        <v>0</v>
      </c>
      <c r="AE5" s="8">
        <v>0</v>
      </c>
      <c r="AF5" s="8">
        <v>0</v>
      </c>
      <c r="AG5" s="9">
        <v>-192</v>
      </c>
      <c r="AH5" s="11">
        <v>0</v>
      </c>
      <c r="AI5" s="9">
        <v>-192</v>
      </c>
      <c r="AJ5" s="11">
        <v>0</v>
      </c>
      <c r="AK5" s="6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3">
        <v>0</v>
      </c>
      <c r="AR5" s="12">
        <v>0</v>
      </c>
      <c r="AS5" s="12">
        <v>0</v>
      </c>
      <c r="AT5" s="12">
        <v>0</v>
      </c>
      <c r="AU5" s="12">
        <v>0</v>
      </c>
      <c r="AV5" s="13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3">
        <v>0</v>
      </c>
      <c r="BC5" s="12">
        <v>0</v>
      </c>
      <c r="BD5" s="12">
        <v>0</v>
      </c>
      <c r="BE5" s="12">
        <v>0</v>
      </c>
      <c r="BF5" s="12">
        <v>0</v>
      </c>
      <c r="BG5" s="12">
        <v>20.5</v>
      </c>
      <c r="BH5" s="12">
        <v>148.5</v>
      </c>
      <c r="BI5" s="12">
        <v>0</v>
      </c>
      <c r="BJ5" s="12">
        <v>0</v>
      </c>
      <c r="BK5" s="13">
        <v>0</v>
      </c>
      <c r="BL5" s="9">
        <v>0</v>
      </c>
      <c r="BM5" s="9">
        <v>20.5</v>
      </c>
      <c r="BN5" s="9">
        <v>0</v>
      </c>
      <c r="BO5" s="2">
        <v>0</v>
      </c>
      <c r="BP5" s="2">
        <v>0</v>
      </c>
    </row>
    <row r="6" spans="1:68" s="2" customFormat="1" ht="22.5" customHeight="1">
      <c r="A6" s="4">
        <v>11</v>
      </c>
      <c r="B6" s="5" t="str">
        <v>方小丹</v>
      </c>
      <c r="C6" s="5" t="str">
        <v>广州南沙悦方城多径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9">
        <v>0</v>
      </c>
      <c r="AA6" s="9">
        <v>0</v>
      </c>
      <c r="AB6" s="6">
        <v>0</v>
      </c>
      <c r="AC6" s="8">
        <v>0</v>
      </c>
      <c r="AD6" s="8">
        <v>0</v>
      </c>
      <c r="AE6" s="8">
        <v>0</v>
      </c>
      <c r="AF6" s="8">
        <v>0</v>
      </c>
      <c r="AG6" s="9">
        <v>0</v>
      </c>
      <c r="AH6" s="11">
        <v>0</v>
      </c>
      <c r="AI6" s="9">
        <v>0</v>
      </c>
      <c r="AJ6" s="11">
        <v>0</v>
      </c>
      <c r="AK6" s="6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3">
        <v>0</v>
      </c>
      <c r="AR6" s="12">
        <v>0</v>
      </c>
      <c r="AS6" s="12">
        <v>0</v>
      </c>
      <c r="AT6" s="12">
        <v>0</v>
      </c>
      <c r="AU6" s="12">
        <v>0</v>
      </c>
      <c r="AV6" s="13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3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3">
        <v>0</v>
      </c>
      <c r="BL6" s="9">
        <v>0</v>
      </c>
      <c r="BM6" s="9">
        <v>0</v>
      </c>
      <c r="BN6" s="9">
        <v>0</v>
      </c>
      <c r="BO6" s="2">
        <v>0</v>
      </c>
      <c r="BP6" s="2">
        <v>0</v>
      </c>
    </row>
    <row r="7" spans="1:68" s="2" customFormat="1" ht="22.5" customHeight="1">
      <c r="A7" s="4">
        <v>12</v>
      </c>
      <c r="B7" s="5" t="str">
        <v>方小丹</v>
      </c>
      <c r="C7" s="5" t="str">
        <v>健康港星河(广州星河多径)</v>
      </c>
      <c r="D7" s="6">
        <v>233.5</v>
      </c>
      <c r="E7" s="6">
        <v>2892.45</v>
      </c>
      <c r="F7" s="6">
        <v>348.15</v>
      </c>
      <c r="G7" s="6">
        <v>3474.1</v>
      </c>
      <c r="H7" s="6">
        <v>0</v>
      </c>
      <c r="I7" s="6">
        <v>0</v>
      </c>
      <c r="J7" s="6">
        <v>0</v>
      </c>
      <c r="K7" s="6">
        <v>0</v>
      </c>
      <c r="L7" s="6">
        <v>44.85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9">
        <v>0</v>
      </c>
      <c r="AA7" s="9">
        <v>0</v>
      </c>
      <c r="AB7" s="6">
        <v>3518.95</v>
      </c>
      <c r="AC7" s="8">
        <v>3499.2372999999998</v>
      </c>
      <c r="AD7" s="8">
        <v>0</v>
      </c>
      <c r="AE7" s="8">
        <v>0</v>
      </c>
      <c r="AF7" s="8">
        <v>0</v>
      </c>
      <c r="AG7" s="9">
        <v>0</v>
      </c>
      <c r="AH7" s="11">
        <v>0</v>
      </c>
      <c r="AI7" s="9">
        <v>0</v>
      </c>
      <c r="AJ7" s="11">
        <v>0</v>
      </c>
      <c r="AK7" s="6">
        <v>0</v>
      </c>
      <c r="AL7" s="12">
        <v>0</v>
      </c>
      <c r="AM7" s="12">
        <v>233.5</v>
      </c>
      <c r="AN7" s="12">
        <v>2865.5</v>
      </c>
      <c r="AO7" s="12">
        <v>0</v>
      </c>
      <c r="AP7" s="12">
        <v>3333</v>
      </c>
      <c r="AQ7" s="13">
        <v>0</v>
      </c>
      <c r="AR7" s="12">
        <v>0</v>
      </c>
      <c r="AS7" s="12">
        <v>6198.5</v>
      </c>
      <c r="AT7" s="12">
        <v>5870.5</v>
      </c>
      <c r="AU7" s="12">
        <v>0</v>
      </c>
      <c r="AV7" s="13">
        <v>0</v>
      </c>
      <c r="AW7" s="12">
        <v>0</v>
      </c>
      <c r="AX7" s="12">
        <v>5870.5</v>
      </c>
      <c r="AY7" s="12">
        <v>107</v>
      </c>
      <c r="AZ7" s="12">
        <v>0</v>
      </c>
      <c r="BA7" s="12">
        <v>145.5</v>
      </c>
      <c r="BB7" s="13">
        <v>0</v>
      </c>
      <c r="BC7" s="12">
        <v>0</v>
      </c>
      <c r="BD7" s="12">
        <v>252.5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3">
        <v>0</v>
      </c>
      <c r="BL7" s="9">
        <v>0</v>
      </c>
      <c r="BM7" s="9">
        <v>0</v>
      </c>
      <c r="BN7" s="9">
        <v>0</v>
      </c>
      <c r="BO7" s="2">
        <v>0.56770992982173107</v>
      </c>
      <c r="BP7" s="2">
        <v>24.548514851485098</v>
      </c>
    </row>
    <row r="8" spans="1:68" s="2" customFormat="1" ht="22.5" customHeight="1">
      <c r="A8" s="4">
        <v>13</v>
      </c>
      <c r="B8" s="5" t="str">
        <v>方小丹</v>
      </c>
      <c r="C8" s="5" t="str">
        <v>深圳宝安怀德万象汇solmo</v>
      </c>
      <c r="D8" s="6">
        <v>0</v>
      </c>
      <c r="E8" s="6">
        <v>0</v>
      </c>
      <c r="F8" s="6">
        <v>0</v>
      </c>
      <c r="G8" s="6">
        <v>0</v>
      </c>
      <c r="H8" s="6">
        <v>8183.6</v>
      </c>
      <c r="I8" s="6">
        <v>411.21</v>
      </c>
      <c r="J8" s="6">
        <v>4868.1000000000004</v>
      </c>
      <c r="K8" s="6">
        <v>350.53</v>
      </c>
      <c r="L8" s="6">
        <v>0</v>
      </c>
      <c r="M8" s="6">
        <v>798</v>
      </c>
      <c r="N8" s="6">
        <v>12964.6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9">
        <v>0</v>
      </c>
      <c r="AA8" s="9">
        <v>64.23</v>
      </c>
      <c r="AB8" s="6">
        <v>26878.530000000002</v>
      </c>
      <c r="AC8" s="8">
        <v>26039.002400000001</v>
      </c>
      <c r="AD8" s="8">
        <v>9869.5249999999996</v>
      </c>
      <c r="AE8" s="8">
        <v>0</v>
      </c>
      <c r="AF8" s="8">
        <v>0</v>
      </c>
      <c r="AG8" s="9">
        <v>-605.25</v>
      </c>
      <c r="AH8" s="11">
        <v>0</v>
      </c>
      <c r="AI8" s="9">
        <v>9264.2749999999996</v>
      </c>
      <c r="AJ8" s="11">
        <v>0.34467193704417609</v>
      </c>
      <c r="AK8" s="6">
        <v>0</v>
      </c>
      <c r="AL8" s="12">
        <v>0</v>
      </c>
      <c r="AM8" s="12">
        <v>798</v>
      </c>
      <c r="AN8" s="12">
        <v>0</v>
      </c>
      <c r="AO8" s="12">
        <v>60258</v>
      </c>
      <c r="AP8" s="12">
        <v>0</v>
      </c>
      <c r="AQ8" s="13">
        <v>0</v>
      </c>
      <c r="AR8" s="12">
        <v>0</v>
      </c>
      <c r="AS8" s="12">
        <v>60258</v>
      </c>
      <c r="AT8" s="12">
        <v>0</v>
      </c>
      <c r="AU8" s="12">
        <v>0</v>
      </c>
      <c r="AV8" s="13">
        <v>0</v>
      </c>
      <c r="AW8" s="12">
        <v>111309.5</v>
      </c>
      <c r="AX8" s="12">
        <v>111309.5</v>
      </c>
      <c r="AY8" s="12">
        <v>0</v>
      </c>
      <c r="AZ8" s="12">
        <v>2499.5</v>
      </c>
      <c r="BA8" s="12">
        <v>0</v>
      </c>
      <c r="BB8" s="13">
        <v>0</v>
      </c>
      <c r="BC8" s="12">
        <v>0</v>
      </c>
      <c r="BD8" s="12">
        <v>2499.5</v>
      </c>
      <c r="BE8" s="12">
        <v>0</v>
      </c>
      <c r="BF8" s="12">
        <v>0</v>
      </c>
      <c r="BG8" s="12">
        <v>329</v>
      </c>
      <c r="BH8" s="12">
        <v>732.5</v>
      </c>
      <c r="BI8" s="12">
        <v>0</v>
      </c>
      <c r="BJ8" s="12">
        <v>0</v>
      </c>
      <c r="BK8" s="13">
        <v>0</v>
      </c>
      <c r="BL8" s="9">
        <v>0</v>
      </c>
      <c r="BM8" s="9">
        <v>329</v>
      </c>
      <c r="BN8" s="9">
        <v>0.131626325265053</v>
      </c>
      <c r="BO8" s="2">
        <v>0.44605745295230514</v>
      </c>
      <c r="BP8" s="2">
        <v>24.1080216043208</v>
      </c>
    </row>
    <row r="9" spans="1:68" s="2" customFormat="1" ht="22.5" customHeight="1">
      <c r="A9" s="4">
        <v>14</v>
      </c>
      <c r="B9" s="5" t="str">
        <v>方小丹</v>
      </c>
      <c r="C9" s="5" t="str">
        <v>深圳宝安怀德万象汇figgyfinds</v>
      </c>
      <c r="D9" s="6">
        <v>0</v>
      </c>
      <c r="E9" s="6">
        <v>0</v>
      </c>
      <c r="F9" s="6">
        <v>0</v>
      </c>
      <c r="G9" s="6">
        <v>0</v>
      </c>
      <c r="H9" s="6">
        <v>890.15</v>
      </c>
      <c r="I9" s="6">
        <v>45.28</v>
      </c>
      <c r="J9" s="6">
        <v>0</v>
      </c>
      <c r="K9" s="6">
        <v>0</v>
      </c>
      <c r="L9" s="6">
        <v>0</v>
      </c>
      <c r="M9" s="6">
        <v>117.5</v>
      </c>
      <c r="N9" s="6">
        <v>1775.65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9">
        <v>0</v>
      </c>
      <c r="AA9" s="9">
        <v>11.23</v>
      </c>
      <c r="AB9" s="6">
        <v>2794.53</v>
      </c>
      <c r="AC9" s="8">
        <v>2738.5961000000002</v>
      </c>
      <c r="AD9" s="8">
        <v>446.64499999999998</v>
      </c>
      <c r="AE9" s="8">
        <v>0</v>
      </c>
      <c r="AF9" s="8">
        <v>0</v>
      </c>
      <c r="AG9" s="9">
        <v>-156.75</v>
      </c>
      <c r="AH9" s="11">
        <v>0</v>
      </c>
      <c r="AI9" s="9">
        <v>289.89499999999998</v>
      </c>
      <c r="AJ9" s="11">
        <v>0.10373658540076505</v>
      </c>
      <c r="AK9" s="6">
        <v>0</v>
      </c>
      <c r="AL9" s="12">
        <v>0</v>
      </c>
      <c r="AM9" s="12">
        <v>117.5</v>
      </c>
      <c r="AN9" s="12">
        <v>0</v>
      </c>
      <c r="AO9" s="12">
        <v>997.5</v>
      </c>
      <c r="AP9" s="12">
        <v>13.5</v>
      </c>
      <c r="AQ9" s="13">
        <v>0</v>
      </c>
      <c r="AR9" s="12">
        <v>0</v>
      </c>
      <c r="AS9" s="12">
        <v>1011</v>
      </c>
      <c r="AT9" s="12">
        <v>0</v>
      </c>
      <c r="AU9" s="12">
        <v>0</v>
      </c>
      <c r="AV9" s="13">
        <v>0</v>
      </c>
      <c r="AW9" s="12">
        <v>17203</v>
      </c>
      <c r="AX9" s="12">
        <v>17203</v>
      </c>
      <c r="AY9" s="12">
        <v>0</v>
      </c>
      <c r="AZ9" s="12">
        <v>11.5</v>
      </c>
      <c r="BA9" s="12">
        <v>0.5</v>
      </c>
      <c r="BB9" s="13">
        <v>0</v>
      </c>
      <c r="BC9" s="12">
        <v>0</v>
      </c>
      <c r="BD9" s="12">
        <v>12</v>
      </c>
      <c r="BE9" s="12">
        <v>0</v>
      </c>
      <c r="BF9" s="12">
        <v>0</v>
      </c>
      <c r="BG9" s="12">
        <v>0</v>
      </c>
      <c r="BH9" s="12">
        <v>104.5</v>
      </c>
      <c r="BI9" s="12">
        <v>0</v>
      </c>
      <c r="BJ9" s="12">
        <v>0</v>
      </c>
      <c r="BK9" s="13">
        <v>0</v>
      </c>
      <c r="BL9" s="9">
        <v>0</v>
      </c>
      <c r="BM9" s="9">
        <v>0</v>
      </c>
      <c r="BN9" s="9">
        <v>0</v>
      </c>
      <c r="BO9" s="2">
        <v>2.7641246290801189</v>
      </c>
      <c r="BP9" s="2">
        <v>84.25</v>
      </c>
    </row>
    <row r="10" spans="1:68" s="2" customFormat="1" ht="22.5" customHeight="1">
      <c r="A10" s="4">
        <v>15</v>
      </c>
      <c r="B10" s="5" t="str">
        <v>方小丹</v>
      </c>
      <c r="C10" s="5" t="str">
        <v>深圳龙岗大运天地figgyfinds</v>
      </c>
      <c r="D10" s="6">
        <v>0</v>
      </c>
      <c r="E10" s="6">
        <v>0</v>
      </c>
      <c r="F10" s="6">
        <v>0</v>
      </c>
      <c r="G10" s="6">
        <v>0</v>
      </c>
      <c r="H10" s="6">
        <v>38723.449999999997</v>
      </c>
      <c r="I10" s="6">
        <v>1943.64</v>
      </c>
      <c r="J10" s="6">
        <v>20011.2</v>
      </c>
      <c r="K10" s="6">
        <v>1276.135</v>
      </c>
      <c r="L10" s="6">
        <v>0</v>
      </c>
      <c r="M10" s="6">
        <v>1463.4</v>
      </c>
      <c r="N10" s="6">
        <v>20643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9">
        <v>0</v>
      </c>
      <c r="AA10" s="9">
        <v>411.72</v>
      </c>
      <c r="AB10" s="6">
        <v>81252.76999999999</v>
      </c>
      <c r="AC10" s="8">
        <v>77909.137000000002</v>
      </c>
      <c r="AD10" s="8">
        <v>22911.235000000001</v>
      </c>
      <c r="AE10" s="8">
        <v>0</v>
      </c>
      <c r="AF10" s="8">
        <v>0</v>
      </c>
      <c r="AG10" s="9">
        <v>-5130</v>
      </c>
      <c r="AH10" s="11">
        <v>0</v>
      </c>
      <c r="AI10" s="9">
        <v>17781.235000000001</v>
      </c>
      <c r="AJ10" s="11">
        <v>0.21883850852100184</v>
      </c>
      <c r="AK10" s="6">
        <v>0</v>
      </c>
      <c r="AL10" s="12">
        <v>0</v>
      </c>
      <c r="AM10" s="12">
        <v>1463.4</v>
      </c>
      <c r="AN10" s="12">
        <v>0</v>
      </c>
      <c r="AO10" s="12">
        <v>91854</v>
      </c>
      <c r="AP10" s="12">
        <v>0</v>
      </c>
      <c r="AQ10" s="13">
        <v>0</v>
      </c>
      <c r="AR10" s="12">
        <v>0</v>
      </c>
      <c r="AS10" s="12">
        <v>91854</v>
      </c>
      <c r="AT10" s="12">
        <v>0</v>
      </c>
      <c r="AU10" s="12">
        <v>0</v>
      </c>
      <c r="AV10" s="13">
        <v>0</v>
      </c>
      <c r="AW10" s="12">
        <v>365546</v>
      </c>
      <c r="AX10" s="12">
        <v>365546</v>
      </c>
      <c r="AY10" s="12">
        <v>0</v>
      </c>
      <c r="AZ10" s="12">
        <v>2028</v>
      </c>
      <c r="BA10" s="12">
        <v>0</v>
      </c>
      <c r="BB10" s="13">
        <v>0</v>
      </c>
      <c r="BC10" s="12">
        <v>0</v>
      </c>
      <c r="BD10" s="12">
        <v>2028</v>
      </c>
      <c r="BE10" s="12">
        <v>0</v>
      </c>
      <c r="BF10" s="12">
        <v>0</v>
      </c>
      <c r="BG10" s="12">
        <v>6783.5</v>
      </c>
      <c r="BH10" s="12">
        <v>10203.5</v>
      </c>
      <c r="BI10" s="12">
        <v>0</v>
      </c>
      <c r="BJ10" s="12">
        <v>0</v>
      </c>
      <c r="BK10" s="13">
        <v>0</v>
      </c>
      <c r="BL10" s="9">
        <v>0</v>
      </c>
      <c r="BM10" s="9">
        <v>6783.5</v>
      </c>
      <c r="BN10" s="9">
        <v>3.3449211045364802</v>
      </c>
      <c r="BO10" s="2">
        <v>0.88458608226097923</v>
      </c>
      <c r="BP10" s="2">
        <v>45.292899408284001</v>
      </c>
    </row>
    <row r="11" spans="1:68" s="2" customFormat="1" ht="22.5" customHeight="1">
      <c r="A11" s="4">
        <v>16</v>
      </c>
      <c r="B11" s="5" t="str">
        <v>方小丹</v>
      </c>
      <c r="C11" s="5" t="str">
        <v>深圳海岸城爪物超柿</v>
      </c>
      <c r="D11" s="6">
        <v>0</v>
      </c>
      <c r="E11" s="6">
        <v>0</v>
      </c>
      <c r="F11" s="6">
        <v>0</v>
      </c>
      <c r="G11" s="6">
        <v>0</v>
      </c>
      <c r="H11" s="6">
        <v>29449.205000000002</v>
      </c>
      <c r="I11" s="6">
        <v>1486.46</v>
      </c>
      <c r="J11" s="6">
        <v>54848.35</v>
      </c>
      <c r="K11" s="6">
        <v>3501.8249999999998</v>
      </c>
      <c r="L11" s="6">
        <v>0</v>
      </c>
      <c r="M11" s="6">
        <v>1908.55</v>
      </c>
      <c r="N11" s="6">
        <v>68561.2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9">
        <v>0</v>
      </c>
      <c r="AA11" s="9">
        <v>0</v>
      </c>
      <c r="AB11" s="6">
        <v>154767.30499999999</v>
      </c>
      <c r="AC11" s="8">
        <v>149367.65280000001</v>
      </c>
      <c r="AD11" s="8">
        <v>90509.684999999998</v>
      </c>
      <c r="AE11" s="8">
        <v>0</v>
      </c>
      <c r="AF11" s="8">
        <v>0</v>
      </c>
      <c r="AG11" s="9">
        <v>21251.25</v>
      </c>
      <c r="AH11" s="11">
        <v>0</v>
      </c>
      <c r="AI11" s="9">
        <v>111760.935</v>
      </c>
      <c r="AJ11" s="11">
        <v>0.72212238237268522</v>
      </c>
      <c r="AK11" s="6">
        <v>0</v>
      </c>
      <c r="AL11" s="12">
        <v>0</v>
      </c>
      <c r="AM11" s="12">
        <v>1908.55</v>
      </c>
      <c r="AN11" s="12">
        <v>0</v>
      </c>
      <c r="AO11" s="12">
        <v>302312</v>
      </c>
      <c r="AP11" s="12">
        <v>0</v>
      </c>
      <c r="AQ11" s="13">
        <v>0</v>
      </c>
      <c r="AR11" s="12">
        <v>0</v>
      </c>
      <c r="AS11" s="12">
        <v>302312</v>
      </c>
      <c r="AT11" s="12">
        <v>0</v>
      </c>
      <c r="AU11" s="12">
        <v>0</v>
      </c>
      <c r="AV11" s="13">
        <v>0</v>
      </c>
      <c r="AW11" s="12">
        <v>365424.5</v>
      </c>
      <c r="AX11" s="12">
        <v>365424.5</v>
      </c>
      <c r="AY11" s="12">
        <v>0</v>
      </c>
      <c r="AZ11" s="12">
        <v>6102</v>
      </c>
      <c r="BA11" s="12">
        <v>0</v>
      </c>
      <c r="BB11" s="13">
        <v>0</v>
      </c>
      <c r="BC11" s="12">
        <v>0</v>
      </c>
      <c r="BD11" s="12">
        <v>6102</v>
      </c>
      <c r="BE11" s="12">
        <v>0</v>
      </c>
      <c r="BF11" s="12">
        <v>0</v>
      </c>
      <c r="BG11" s="12">
        <v>16426.5</v>
      </c>
      <c r="BH11" s="12">
        <v>2259</v>
      </c>
      <c r="BI11" s="12">
        <v>0</v>
      </c>
      <c r="BJ11" s="12">
        <v>0</v>
      </c>
      <c r="BK11" s="13">
        <v>0</v>
      </c>
      <c r="BL11" s="9">
        <v>0</v>
      </c>
      <c r="BM11" s="9">
        <v>16426.5</v>
      </c>
      <c r="BN11" s="9">
        <v>2.6919862340216301</v>
      </c>
      <c r="BO11" s="2">
        <v>0.51194562240334485</v>
      </c>
      <c r="BP11" s="2">
        <v>49.5431006227466</v>
      </c>
    </row>
    <row r="12" spans="1:68" s="2" customFormat="1" ht="22.5" customHeight="1">
      <c r="A12" s="4">
        <v>17</v>
      </c>
      <c r="B12" s="5" t="str">
        <v>方小丹</v>
      </c>
      <c r="C12" s="5" t="str">
        <v>深圳布吉万象汇figgyfinds</v>
      </c>
      <c r="D12" s="6">
        <v>0</v>
      </c>
      <c r="E12" s="6">
        <v>0</v>
      </c>
      <c r="F12" s="6">
        <v>0</v>
      </c>
      <c r="G12" s="6">
        <v>0</v>
      </c>
      <c r="H12" s="6">
        <v>46630.35</v>
      </c>
      <c r="I12" s="6">
        <v>2346.89</v>
      </c>
      <c r="J12" s="6">
        <v>33972.050000000003</v>
      </c>
      <c r="K12" s="6">
        <v>1509.66</v>
      </c>
      <c r="L12" s="6">
        <v>0</v>
      </c>
      <c r="M12" s="6">
        <v>2113.1999999999998</v>
      </c>
      <c r="N12" s="6">
        <v>35279.75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9">
        <v>0</v>
      </c>
      <c r="AA12" s="9">
        <v>500</v>
      </c>
      <c r="AB12" s="6">
        <v>118495.34999999999</v>
      </c>
      <c r="AC12" s="8">
        <v>114427.12149999999</v>
      </c>
      <c r="AD12" s="8">
        <v>45770.345000000001</v>
      </c>
      <c r="AE12" s="8">
        <v>0</v>
      </c>
      <c r="AF12" s="8">
        <v>0</v>
      </c>
      <c r="AG12" s="9">
        <v>-69</v>
      </c>
      <c r="AH12" s="11">
        <v>0</v>
      </c>
      <c r="AI12" s="9">
        <v>45701.345000000001</v>
      </c>
      <c r="AJ12" s="11">
        <v>0.38568049294761358</v>
      </c>
      <c r="AK12" s="6">
        <v>0</v>
      </c>
      <c r="AL12" s="12">
        <v>0</v>
      </c>
      <c r="AM12" s="12">
        <v>2113.1999999999998</v>
      </c>
      <c r="AN12" s="12">
        <v>0</v>
      </c>
      <c r="AO12" s="12">
        <v>231439.5</v>
      </c>
      <c r="AP12" s="12">
        <v>0</v>
      </c>
      <c r="AQ12" s="13">
        <v>0</v>
      </c>
      <c r="AR12" s="12">
        <v>0</v>
      </c>
      <c r="AS12" s="12">
        <v>231439.5</v>
      </c>
      <c r="AT12" s="12">
        <v>0</v>
      </c>
      <c r="AU12" s="12">
        <v>0</v>
      </c>
      <c r="AV12" s="13">
        <v>0</v>
      </c>
      <c r="AW12" s="12">
        <v>250575</v>
      </c>
      <c r="AX12" s="12">
        <v>250575</v>
      </c>
      <c r="AY12" s="12">
        <v>0</v>
      </c>
      <c r="AZ12" s="12">
        <v>4615</v>
      </c>
      <c r="BA12" s="12">
        <v>0</v>
      </c>
      <c r="BB12" s="13">
        <v>0</v>
      </c>
      <c r="BC12" s="12">
        <v>0</v>
      </c>
      <c r="BD12" s="12">
        <v>4615</v>
      </c>
      <c r="BE12" s="12">
        <v>0</v>
      </c>
      <c r="BF12" s="12">
        <v>0</v>
      </c>
      <c r="BG12" s="12">
        <v>18928.5</v>
      </c>
      <c r="BH12" s="12">
        <v>18974.5</v>
      </c>
      <c r="BI12" s="12">
        <v>0</v>
      </c>
      <c r="BJ12" s="12">
        <v>0</v>
      </c>
      <c r="BK12" s="13">
        <v>0</v>
      </c>
      <c r="BL12" s="9">
        <v>0</v>
      </c>
      <c r="BM12" s="9">
        <v>18928.5</v>
      </c>
      <c r="BN12" s="9">
        <v>4.1015167930660796</v>
      </c>
      <c r="BO12" s="2">
        <v>0.5119927670082246</v>
      </c>
      <c r="BP12" s="2">
        <v>50.149404117009702</v>
      </c>
    </row>
    <row r="13" spans="1:68" s="2" customFormat="1" ht="22.5" customHeight="1">
      <c r="A13" s="4">
        <v>18</v>
      </c>
      <c r="B13" s="5" t="str">
        <v>方小丹</v>
      </c>
      <c r="C13" s="5" t="str">
        <v>广州花都骏壹万邦广场figgyfinds</v>
      </c>
      <c r="D13" s="6">
        <v>0</v>
      </c>
      <c r="E13" s="6">
        <v>0</v>
      </c>
      <c r="F13" s="6">
        <v>0</v>
      </c>
      <c r="G13" s="6">
        <v>0</v>
      </c>
      <c r="H13" s="6">
        <v>36282.31</v>
      </c>
      <c r="I13" s="6">
        <v>1824.89</v>
      </c>
      <c r="J13" s="6">
        <v>38994.400000000001</v>
      </c>
      <c r="K13" s="6">
        <v>2479.605</v>
      </c>
      <c r="L13" s="6">
        <v>0</v>
      </c>
      <c r="M13" s="6">
        <v>2082</v>
      </c>
      <c r="N13" s="6">
        <v>43626.35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9">
        <v>0</v>
      </c>
      <c r="AA13" s="9">
        <v>0</v>
      </c>
      <c r="AB13" s="6">
        <v>120985.06</v>
      </c>
      <c r="AC13" s="8">
        <v>116418.8069</v>
      </c>
      <c r="AD13" s="8">
        <v>41771.654999999999</v>
      </c>
      <c r="AE13" s="8">
        <v>0</v>
      </c>
      <c r="AF13" s="8">
        <v>0</v>
      </c>
      <c r="AG13" s="9">
        <v>1126.5</v>
      </c>
      <c r="AH13" s="11">
        <v>0</v>
      </c>
      <c r="AI13" s="9">
        <v>42898.154999999999</v>
      </c>
      <c r="AJ13" s="11">
        <v>0.35457398624259889</v>
      </c>
      <c r="AK13" s="6">
        <v>0</v>
      </c>
      <c r="AL13" s="12">
        <v>0</v>
      </c>
      <c r="AM13" s="12">
        <v>2082</v>
      </c>
      <c r="AN13" s="12">
        <v>0</v>
      </c>
      <c r="AO13" s="12">
        <v>211258</v>
      </c>
      <c r="AP13" s="12">
        <v>0</v>
      </c>
      <c r="AQ13" s="13">
        <v>0</v>
      </c>
      <c r="AR13" s="12">
        <v>0</v>
      </c>
      <c r="AS13" s="12">
        <v>211258</v>
      </c>
      <c r="AT13" s="12">
        <v>0</v>
      </c>
      <c r="AU13" s="12">
        <v>0</v>
      </c>
      <c r="AV13" s="13">
        <v>0</v>
      </c>
      <c r="AW13" s="12">
        <v>198348</v>
      </c>
      <c r="AX13" s="12">
        <v>198348</v>
      </c>
      <c r="AY13" s="12">
        <v>0</v>
      </c>
      <c r="AZ13" s="12">
        <v>4307</v>
      </c>
      <c r="BA13" s="12">
        <v>0</v>
      </c>
      <c r="BB13" s="13">
        <v>0</v>
      </c>
      <c r="BC13" s="12">
        <v>0</v>
      </c>
      <c r="BD13" s="12">
        <v>4307</v>
      </c>
      <c r="BE13" s="12">
        <v>0</v>
      </c>
      <c r="BF13" s="12">
        <v>0</v>
      </c>
      <c r="BG13" s="12">
        <v>14741.5</v>
      </c>
      <c r="BH13" s="12">
        <v>13990.5</v>
      </c>
      <c r="BI13" s="12">
        <v>0</v>
      </c>
      <c r="BJ13" s="12">
        <v>0</v>
      </c>
      <c r="BK13" s="13">
        <v>0</v>
      </c>
      <c r="BL13" s="9">
        <v>0</v>
      </c>
      <c r="BM13" s="9">
        <v>14741.5</v>
      </c>
      <c r="BN13" s="9">
        <v>3.42268400278616</v>
      </c>
      <c r="BO13" s="2">
        <v>0.57268865557754023</v>
      </c>
      <c r="BP13" s="2">
        <v>49.049918736939802</v>
      </c>
    </row>
    <row r="14" spans="1:68" s="2" customFormat="1" ht="22.5" customHeight="1">
      <c r="A14" s="4">
        <v>19</v>
      </c>
      <c r="B14" s="5" t="str">
        <v>方小丹</v>
      </c>
      <c r="C14" s="5" t="str">
        <v>东莞松山湖万象汇figgyfinds</v>
      </c>
      <c r="D14" s="6">
        <v>0</v>
      </c>
      <c r="E14" s="6">
        <v>0</v>
      </c>
      <c r="F14" s="6">
        <v>0</v>
      </c>
      <c r="G14" s="6">
        <v>0</v>
      </c>
      <c r="H14" s="6">
        <v>66939</v>
      </c>
      <c r="I14" s="6">
        <v>3368.2</v>
      </c>
      <c r="J14" s="6">
        <v>32865.9</v>
      </c>
      <c r="K14" s="6">
        <v>2271.4749999999999</v>
      </c>
      <c r="L14" s="6">
        <v>0</v>
      </c>
      <c r="M14" s="6">
        <v>1069.55</v>
      </c>
      <c r="N14" s="6">
        <v>29009.5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9">
        <v>0</v>
      </c>
      <c r="AA14" s="9">
        <v>10.88</v>
      </c>
      <c r="AB14" s="6">
        <v>129894.83</v>
      </c>
      <c r="AC14" s="8">
        <v>124081.098</v>
      </c>
      <c r="AD14" s="8">
        <v>46664.254999999997</v>
      </c>
      <c r="AE14" s="8">
        <v>0</v>
      </c>
      <c r="AF14" s="8">
        <v>0</v>
      </c>
      <c r="AG14" s="9">
        <v>-3476.25</v>
      </c>
      <c r="AH14" s="11">
        <v>0</v>
      </c>
      <c r="AI14" s="9">
        <v>43188.004999999997</v>
      </c>
      <c r="AJ14" s="11">
        <v>0.33248440295891679</v>
      </c>
      <c r="AK14" s="6">
        <v>0</v>
      </c>
      <c r="AL14" s="12">
        <v>0</v>
      </c>
      <c r="AM14" s="12">
        <v>1069.55</v>
      </c>
      <c r="AN14" s="12">
        <v>0</v>
      </c>
      <c r="AO14" s="12">
        <v>186151</v>
      </c>
      <c r="AP14" s="12">
        <v>0</v>
      </c>
      <c r="AQ14" s="13">
        <v>0</v>
      </c>
      <c r="AR14" s="12">
        <v>0</v>
      </c>
      <c r="AS14" s="12">
        <v>186151</v>
      </c>
      <c r="AT14" s="12">
        <v>0</v>
      </c>
      <c r="AU14" s="12">
        <v>0</v>
      </c>
      <c r="AV14" s="13">
        <v>0</v>
      </c>
      <c r="AW14" s="12">
        <v>533912</v>
      </c>
      <c r="AX14" s="12">
        <v>533912</v>
      </c>
      <c r="AY14" s="12">
        <v>0</v>
      </c>
      <c r="AZ14" s="12">
        <v>4463.5</v>
      </c>
      <c r="BA14" s="12">
        <v>0</v>
      </c>
      <c r="BB14" s="13">
        <v>0</v>
      </c>
      <c r="BC14" s="12">
        <v>0</v>
      </c>
      <c r="BD14" s="12">
        <v>4463.5</v>
      </c>
      <c r="BE14" s="12">
        <v>0</v>
      </c>
      <c r="BF14" s="12">
        <v>0</v>
      </c>
      <c r="BG14" s="12">
        <v>12225.5</v>
      </c>
      <c r="BH14" s="12">
        <v>14543</v>
      </c>
      <c r="BI14" s="12">
        <v>0</v>
      </c>
      <c r="BJ14" s="12">
        <v>0</v>
      </c>
      <c r="BK14" s="13">
        <v>0</v>
      </c>
      <c r="BL14" s="9">
        <v>0</v>
      </c>
      <c r="BM14" s="9">
        <v>12225.5</v>
      </c>
      <c r="BN14" s="9">
        <v>2.7389940629550802</v>
      </c>
      <c r="BO14" s="2">
        <v>0.69779281336119603</v>
      </c>
      <c r="BP14" s="2">
        <v>41.705164108883103</v>
      </c>
    </row>
    <row r="15" spans="1:68" s="2" customFormat="1" ht="22.5" customHeight="1">
      <c r="A15" s="4">
        <v>20</v>
      </c>
      <c r="B15" s="5" t="str">
        <v>方小丹</v>
      </c>
      <c r="C15" s="5" t="str">
        <v>福永益田假日</v>
      </c>
      <c r="D15" s="6">
        <v>524</v>
      </c>
      <c r="E15" s="6">
        <v>2365.3000000000002</v>
      </c>
      <c r="F15" s="6">
        <v>618.85</v>
      </c>
      <c r="G15" s="6">
        <v>3508.15</v>
      </c>
      <c r="H15" s="6">
        <v>1119.45</v>
      </c>
      <c r="I15" s="6">
        <v>55.98</v>
      </c>
      <c r="J15" s="6">
        <v>863.05</v>
      </c>
      <c r="K15" s="6">
        <v>69.805000000000007</v>
      </c>
      <c r="L15" s="6">
        <v>1966.05</v>
      </c>
      <c r="M15" s="6">
        <v>0</v>
      </c>
      <c r="N15" s="6">
        <v>0</v>
      </c>
      <c r="O15" s="6">
        <v>1732.4749999999999</v>
      </c>
      <c r="P15" s="6">
        <v>151.5</v>
      </c>
      <c r="Q15" s="6">
        <v>10.625</v>
      </c>
      <c r="R15" s="6">
        <v>0</v>
      </c>
      <c r="S15" s="6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9">
        <v>0</v>
      </c>
      <c r="AA15" s="9">
        <v>0</v>
      </c>
      <c r="AB15" s="6">
        <v>9340.6750000000011</v>
      </c>
      <c r="AC15" s="8">
        <v>9174.5637999999999</v>
      </c>
      <c r="AD15" s="8">
        <v>-17658.25</v>
      </c>
      <c r="AE15" s="8">
        <v>0</v>
      </c>
      <c r="AF15" s="8">
        <v>0</v>
      </c>
      <c r="AG15" s="9">
        <v>0</v>
      </c>
      <c r="AH15" s="11">
        <v>0</v>
      </c>
      <c r="AI15" s="9">
        <v>-17658.25</v>
      </c>
      <c r="AJ15" s="11">
        <v>-1.89046830127373</v>
      </c>
      <c r="AK15" s="6">
        <v>0</v>
      </c>
      <c r="AL15" s="12">
        <v>0</v>
      </c>
      <c r="AM15" s="12">
        <v>675.5</v>
      </c>
      <c r="AN15" s="12">
        <v>11534.5</v>
      </c>
      <c r="AO15" s="12">
        <v>0</v>
      </c>
      <c r="AP15" s="12">
        <v>2.5</v>
      </c>
      <c r="AQ15" s="13">
        <v>0</v>
      </c>
      <c r="AR15" s="12">
        <v>0</v>
      </c>
      <c r="AS15" s="12">
        <v>11537</v>
      </c>
      <c r="AT15" s="12">
        <v>7111</v>
      </c>
      <c r="AU15" s="12">
        <v>0</v>
      </c>
      <c r="AV15" s="13">
        <v>0</v>
      </c>
      <c r="AW15" s="12">
        <v>0</v>
      </c>
      <c r="AX15" s="12">
        <v>7111</v>
      </c>
      <c r="AY15" s="12">
        <v>313</v>
      </c>
      <c r="AZ15" s="12">
        <v>0</v>
      </c>
      <c r="BA15" s="12">
        <v>0.5</v>
      </c>
      <c r="BB15" s="13">
        <v>0</v>
      </c>
      <c r="BC15" s="12">
        <v>0</v>
      </c>
      <c r="BD15" s="12">
        <v>313.5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3">
        <v>0</v>
      </c>
      <c r="BL15" s="9">
        <v>0</v>
      </c>
      <c r="BM15" s="9">
        <v>0</v>
      </c>
      <c r="BN15" s="9">
        <v>0</v>
      </c>
      <c r="BO15" s="2">
        <v>0.80962771951113821</v>
      </c>
      <c r="BP15" s="2">
        <v>36.800637958532697</v>
      </c>
    </row>
    <row r="16" spans="1:68" s="2" customFormat="1" ht="22.5" customHeight="1">
      <c r="A16" s="4">
        <v>21</v>
      </c>
      <c r="B16" s="5" t="str">
        <v>方小丹</v>
      </c>
      <c r="C16" s="5" t="str">
        <v>Solmo娃娃市集(摩尔城店)</v>
      </c>
      <c r="D16" s="6">
        <v>0</v>
      </c>
      <c r="E16" s="6">
        <v>0</v>
      </c>
      <c r="F16" s="6">
        <v>0</v>
      </c>
      <c r="G16" s="6">
        <v>0</v>
      </c>
      <c r="H16" s="6">
        <v>3601.6</v>
      </c>
      <c r="I16" s="6">
        <v>180.85499999999999</v>
      </c>
      <c r="J16" s="6">
        <v>2557.5</v>
      </c>
      <c r="K16" s="6">
        <v>182.71</v>
      </c>
      <c r="L16" s="6">
        <v>0</v>
      </c>
      <c r="M16" s="6">
        <v>754</v>
      </c>
      <c r="N16" s="6">
        <v>6583.2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9">
        <v>0</v>
      </c>
      <c r="AA16" s="9">
        <v>0</v>
      </c>
      <c r="AB16" s="6">
        <v>13496.3</v>
      </c>
      <c r="AC16" s="8">
        <v>13093.2358</v>
      </c>
      <c r="AD16" s="8">
        <v>50</v>
      </c>
      <c r="AE16" s="8">
        <v>0</v>
      </c>
      <c r="AF16" s="8">
        <v>0</v>
      </c>
      <c r="AG16" s="9">
        <v>0</v>
      </c>
      <c r="AH16" s="11">
        <v>0</v>
      </c>
      <c r="AI16" s="9">
        <v>50</v>
      </c>
      <c r="AJ16" s="11">
        <v>3.7047190711528345E-3</v>
      </c>
      <c r="AK16" s="6">
        <v>0</v>
      </c>
      <c r="AL16" s="12">
        <v>0</v>
      </c>
      <c r="AM16" s="12">
        <v>754</v>
      </c>
      <c r="AN16" s="12">
        <v>0</v>
      </c>
      <c r="AO16" s="12">
        <v>0</v>
      </c>
      <c r="AP16" s="12">
        <v>0</v>
      </c>
      <c r="AQ16" s="13">
        <v>0</v>
      </c>
      <c r="AR16" s="12">
        <v>0</v>
      </c>
      <c r="AS16" s="12">
        <v>0</v>
      </c>
      <c r="AT16" s="12">
        <v>0</v>
      </c>
      <c r="AU16" s="12">
        <v>0</v>
      </c>
      <c r="AV16" s="13">
        <v>0</v>
      </c>
      <c r="AW16" s="12">
        <v>134897.5</v>
      </c>
      <c r="AX16" s="12">
        <v>134897.5</v>
      </c>
      <c r="AY16" s="12">
        <v>0</v>
      </c>
      <c r="AZ16" s="12">
        <v>0</v>
      </c>
      <c r="BA16" s="12">
        <v>0</v>
      </c>
      <c r="BB16" s="13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3">
        <v>0</v>
      </c>
      <c r="BL16" s="9">
        <v>0</v>
      </c>
      <c r="BM16" s="9">
        <v>0</v>
      </c>
      <c r="BN16" s="9">
        <v>0</v>
      </c>
      <c r="BO16" s="2">
        <v>0</v>
      </c>
      <c r="BP16" s="2">
        <v>0</v>
      </c>
    </row>
    <row r="17" spans="1:65" s="2" customFormat="1" ht="16.5" customHeight="1">
      <c r="A17" s="17"/>
      <c r="B17" s="18"/>
      <c r="C17" s="18"/>
      <c r="S17" s="6"/>
      <c r="T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H17" s="19"/>
      <c r="AI17" s="6"/>
      <c r="AJ17" s="19"/>
      <c r="AK17" s="6"/>
      <c r="BG17" s="12"/>
      <c r="BH17" s="6"/>
      <c r="BI17" s="6"/>
      <c r="BJ17" s="6"/>
      <c r="BK17" s="6"/>
      <c r="BL17" s="6"/>
      <c r="BM17" s="6"/>
    </row>
    <row r="18" spans="1:65" s="2" customFormat="1" ht="16.5" customHeight="1">
      <c r="A18" s="17"/>
      <c r="B18" s="18"/>
      <c r="C18" s="18"/>
      <c r="S18" s="6"/>
      <c r="T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H18" s="19"/>
      <c r="AI18" s="6"/>
      <c r="AJ18" s="19"/>
      <c r="AK18" s="6"/>
      <c r="BG18" s="12"/>
      <c r="BH18" s="6"/>
      <c r="BI18" s="6"/>
      <c r="BJ18" s="6"/>
      <c r="BK18" s="6"/>
      <c r="BL18" s="6"/>
      <c r="BM18" s="6"/>
    </row>
    <row r="19" spans="1:65" s="2" customFormat="1" ht="16.5" customHeight="1">
      <c r="A19" s="17"/>
      <c r="B19" s="18"/>
      <c r="C19" s="18"/>
      <c r="S19" s="6"/>
      <c r="T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H19" s="19"/>
      <c r="AI19" s="6"/>
      <c r="AJ19" s="19"/>
      <c r="AK19" s="6"/>
      <c r="BG19" s="12"/>
      <c r="BH19" s="6"/>
      <c r="BI19" s="6"/>
      <c r="BJ19" s="6"/>
      <c r="BK19" s="6"/>
      <c r="BL19" s="6"/>
      <c r="BM19" s="6"/>
    </row>
    <row r="20" spans="1:65" s="2" customFormat="1" ht="16.5" customHeight="1">
      <c r="A20" s="17"/>
      <c r="B20" s="18"/>
      <c r="C20" s="18"/>
      <c r="S20" s="6"/>
      <c r="T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H20" s="19"/>
      <c r="AI20" s="6"/>
      <c r="AJ20" s="19"/>
      <c r="AK20" s="6"/>
      <c r="BG20" s="12"/>
      <c r="BH20" s="6"/>
      <c r="BI20" s="6"/>
      <c r="BJ20" s="6"/>
      <c r="BK20" s="6"/>
      <c r="BL20" s="6"/>
      <c r="BM20" s="6"/>
    </row>
    <row r="21" spans="1:65" s="2" customFormat="1" ht="16.5" customHeight="1">
      <c r="A21" s="17"/>
      <c r="B21" s="18"/>
      <c r="C21" s="18"/>
      <c r="S21" s="6"/>
      <c r="T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H21" s="19"/>
      <c r="AI21" s="6"/>
      <c r="AJ21" s="19"/>
      <c r="AK21" s="6"/>
      <c r="BG21" s="12"/>
      <c r="BH21" s="6"/>
      <c r="BI21" s="6"/>
      <c r="BJ21" s="6"/>
      <c r="BK21" s="6"/>
      <c r="BL21" s="6"/>
      <c r="BM21" s="6"/>
    </row>
    <row r="22" spans="1:65" s="2" customFormat="1" ht="16.5" customHeight="1">
      <c r="A22" s="17"/>
      <c r="B22" s="18"/>
      <c r="C22" s="18"/>
      <c r="S22" s="6"/>
      <c r="T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H22" s="19"/>
      <c r="AI22" s="6"/>
      <c r="AJ22" s="19"/>
      <c r="AK22" s="6"/>
      <c r="BG22" s="12"/>
      <c r="BH22" s="6"/>
      <c r="BI22" s="6"/>
      <c r="BJ22" s="6"/>
      <c r="BK22" s="6"/>
      <c r="BL22" s="6"/>
      <c r="BM22" s="6"/>
    </row>
  </sheetData>
  <phoneticPr fontId="13" type="noConversion"/>
  <conditionalFormatting sqref="AH2:AH22">
    <cfRule type="cellIs" dxfId="6" priority="1" operator="greaterThan">
      <formula>0.45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3"/>
  <sheetViews>
    <sheetView workbookViewId="0"/>
  </sheetViews>
  <sheetFormatPr defaultColWidth="10" defaultRowHeight="15.5"/>
  <cols>
    <col min="1" max="1" width="6.3828125"/>
    <col min="2" max="2" width="9"/>
    <col min="3" max="3" width="29.765625"/>
    <col min="4" max="5" width="11.61328125"/>
    <col min="6" max="13" width="14.23046875"/>
    <col min="14" max="14" width="16.84375"/>
    <col min="15" max="15" width="14.23046875"/>
    <col min="16" max="16" width="11.61328125"/>
    <col min="17" max="17" width="14.23046875"/>
    <col min="18" max="18" width="21.61328125"/>
    <col min="19" max="19" width="19"/>
    <col min="20" max="20" width="14.23046875"/>
    <col min="21" max="21" width="11.61328125"/>
    <col min="22" max="22" width="16.84375"/>
    <col min="23" max="23" width="12.765625"/>
    <col min="24" max="24" width="14.23046875"/>
    <col min="25" max="25" width="16.84375"/>
    <col min="26" max="26" width="14.23046875"/>
    <col min="27" max="27" width="24.3046875"/>
    <col min="28" max="28" width="16.84375"/>
    <col min="29" max="29" width="19.4609375"/>
    <col min="30" max="30" width="16.84375"/>
    <col min="31" max="31" width="14.23046875"/>
    <col min="32" max="32" width="11.53515625"/>
    <col min="33" max="33" width="18.84375"/>
    <col min="34" max="34" width="16.84375"/>
    <col min="35" max="35" width="12.765625"/>
    <col min="36" max="36" width="11.61328125"/>
    <col min="37" max="38" width="14.23046875"/>
    <col min="39" max="39" width="19"/>
    <col min="40" max="42" width="11.61328125"/>
    <col min="43" max="43" width="19"/>
    <col min="44" max="44" width="11.61328125"/>
    <col min="45" max="45" width="14.23046875"/>
    <col min="46" max="46" width="12.765625"/>
    <col min="47" max="47" width="11.61328125"/>
    <col min="48" max="49" width="14.23046875"/>
    <col min="50" max="50" width="19"/>
    <col min="51" max="52" width="11.61328125"/>
    <col min="53" max="54" width="16.84375"/>
    <col min="55" max="56" width="19.4609375"/>
    <col min="57" max="58" width="24.3046875"/>
    <col min="59" max="60" width="16.84375"/>
    <col min="61" max="61" width="11.61328125"/>
    <col min="62" max="62" width="32.61328125"/>
    <col min="63" max="63" width="27.3828125"/>
    <col min="64" max="64" width="30" style="15"/>
  </cols>
  <sheetData>
    <row r="1" spans="1:68" s="1" customFormat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7" t="s">
        <v>19</v>
      </c>
      <c r="U1" s="4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4" t="s">
        <v>32</v>
      </c>
      <c r="AH1" s="4" t="s">
        <v>33</v>
      </c>
      <c r="AI1" s="7" t="s">
        <v>34</v>
      </c>
      <c r="AJ1" s="10" t="s">
        <v>35</v>
      </c>
      <c r="AK1" s="7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4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1" t="s">
        <v>66</v>
      </c>
      <c r="BP1" s="1" t="s">
        <v>67</v>
      </c>
    </row>
    <row r="2" spans="1:68" s="2" customFormat="1" ht="22.5" customHeight="1">
      <c r="A2" s="4">
        <f t="array" ref="A2:BP2">_xlfn._xlws.FILTER(Sheet1!A:BP,Sheet1!B:B="洪奕翔")</f>
        <v>1</v>
      </c>
      <c r="B2" s="5" t="str">
        <v>洪奕翔</v>
      </c>
      <c r="C2" s="5" t="str">
        <v>深圳皇庭广场figgyfinds</v>
      </c>
      <c r="D2" s="6">
        <v>0</v>
      </c>
      <c r="E2" s="6">
        <v>0</v>
      </c>
      <c r="F2" s="6">
        <v>0</v>
      </c>
      <c r="G2" s="6">
        <v>0</v>
      </c>
      <c r="H2" s="6">
        <v>32618.9</v>
      </c>
      <c r="I2" s="6">
        <v>1670.37</v>
      </c>
      <c r="J2" s="6">
        <v>48559</v>
      </c>
      <c r="K2" s="6">
        <v>2455.52</v>
      </c>
      <c r="L2" s="6">
        <v>0</v>
      </c>
      <c r="M2" s="6">
        <v>5344.8</v>
      </c>
      <c r="N2" s="6">
        <v>146906.82500000001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9">
        <v>0</v>
      </c>
      <c r="AA2" s="9">
        <v>0</v>
      </c>
      <c r="AB2" s="6">
        <v>233429.52500000002</v>
      </c>
      <c r="AC2" s="8">
        <v>228422.19404999999</v>
      </c>
      <c r="AD2" s="8">
        <v>79099.065000000002</v>
      </c>
      <c r="AE2" s="8">
        <v>0</v>
      </c>
      <c r="AF2" s="8">
        <v>0</v>
      </c>
      <c r="AG2" s="9">
        <v>-73754.25</v>
      </c>
      <c r="AH2" s="11">
        <v>0</v>
      </c>
      <c r="AI2" s="9">
        <v>5344.8149999999996</v>
      </c>
      <c r="AJ2" s="11">
        <v>2.289691074854391E-2</v>
      </c>
      <c r="AK2" s="6">
        <v>0</v>
      </c>
      <c r="AL2" s="12">
        <v>0</v>
      </c>
      <c r="AM2" s="12">
        <v>5344.8</v>
      </c>
      <c r="AN2" s="12">
        <v>0</v>
      </c>
      <c r="AO2" s="12">
        <v>426866.5</v>
      </c>
      <c r="AP2" s="12">
        <v>0</v>
      </c>
      <c r="AQ2" s="13">
        <v>0</v>
      </c>
      <c r="AR2" s="12">
        <v>0</v>
      </c>
      <c r="AS2" s="12">
        <v>426866.5</v>
      </c>
      <c r="AT2" s="12">
        <v>0</v>
      </c>
      <c r="AU2" s="12">
        <v>0</v>
      </c>
      <c r="AV2" s="13">
        <v>0</v>
      </c>
      <c r="AW2" s="12">
        <v>510203.5</v>
      </c>
      <c r="AX2" s="12">
        <v>510203.5</v>
      </c>
      <c r="AY2" s="12">
        <v>0</v>
      </c>
      <c r="AZ2" s="12">
        <v>4691</v>
      </c>
      <c r="BA2" s="12">
        <v>0</v>
      </c>
      <c r="BB2" s="13">
        <v>0</v>
      </c>
      <c r="BC2" s="12">
        <v>0</v>
      </c>
      <c r="BD2" s="12">
        <v>4691</v>
      </c>
      <c r="BE2" s="12">
        <v>0</v>
      </c>
      <c r="BF2" s="12">
        <v>0</v>
      </c>
      <c r="BG2" s="12">
        <v>44235.5</v>
      </c>
      <c r="BH2" s="12">
        <v>93405</v>
      </c>
      <c r="BI2" s="12">
        <v>0</v>
      </c>
      <c r="BJ2" s="12">
        <v>0</v>
      </c>
      <c r="BK2" s="13">
        <v>0</v>
      </c>
      <c r="BL2" s="9">
        <v>0</v>
      </c>
      <c r="BM2" s="9">
        <v>44235.5</v>
      </c>
      <c r="BN2" s="9">
        <v>9.4298657002771193</v>
      </c>
      <c r="BO2" s="2">
        <v>0.54684432955033957</v>
      </c>
      <c r="BP2" s="2">
        <v>90.996908974632206</v>
      </c>
    </row>
    <row r="3" spans="1:68" s="2" customFormat="1" ht="16.5" customHeight="1">
      <c r="A3" s="4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8"/>
      <c r="U3" s="8"/>
      <c r="V3" s="8"/>
      <c r="W3" s="8"/>
      <c r="X3" s="8"/>
      <c r="Y3" s="8"/>
      <c r="Z3" s="9"/>
      <c r="AA3" s="9"/>
      <c r="AB3" s="6"/>
      <c r="AC3" s="8"/>
      <c r="AD3" s="8"/>
      <c r="AE3" s="8"/>
      <c r="AF3" s="8"/>
      <c r="AG3" s="9"/>
      <c r="AH3" s="11"/>
      <c r="AI3" s="9"/>
      <c r="AJ3" s="11"/>
      <c r="AK3" s="6"/>
      <c r="AL3" s="12"/>
      <c r="AM3" s="12"/>
      <c r="AN3" s="12"/>
      <c r="AO3" s="12"/>
      <c r="AP3" s="12"/>
      <c r="AQ3" s="13"/>
      <c r="AR3" s="12"/>
      <c r="AS3" s="12"/>
      <c r="AT3" s="12"/>
      <c r="AU3" s="12"/>
      <c r="AV3" s="13"/>
      <c r="AW3" s="12"/>
      <c r="AX3" s="12"/>
      <c r="AY3" s="12"/>
      <c r="AZ3" s="12"/>
      <c r="BA3" s="12"/>
      <c r="BB3" s="13"/>
      <c r="BC3" s="12"/>
      <c r="BD3" s="12"/>
      <c r="BE3" s="12"/>
      <c r="BF3" s="12"/>
      <c r="BG3" s="12"/>
      <c r="BH3" s="12"/>
      <c r="BI3" s="12"/>
      <c r="BJ3" s="12"/>
      <c r="BK3" s="13"/>
      <c r="BL3" s="9"/>
      <c r="BM3" s="9"/>
      <c r="BN3" s="9"/>
    </row>
  </sheetData>
  <phoneticPr fontId="13" type="noConversion"/>
  <conditionalFormatting sqref="AH2:AH3">
    <cfRule type="cellIs" dxfId="5" priority="1" operator="greaterThan">
      <formula>0.45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7"/>
  <sheetViews>
    <sheetView workbookViewId="0"/>
  </sheetViews>
  <sheetFormatPr defaultColWidth="10" defaultRowHeight="20"/>
  <cols>
    <col min="1" max="1" width="6.3828125"/>
    <col min="2" max="2" width="9"/>
    <col min="3" max="3" width="10.765625"/>
    <col min="4" max="5" width="11.61328125"/>
    <col min="6" max="7" width="14.23046875"/>
    <col min="8" max="8" width="11.61328125"/>
    <col min="9" max="9" width="14.23046875"/>
    <col min="10" max="10" width="11.61328125"/>
    <col min="11" max="13" width="14.23046875"/>
    <col min="14" max="14" width="16.84375"/>
    <col min="15" max="15" width="14.23046875"/>
    <col min="16" max="16" width="11.61328125"/>
    <col min="17" max="17" width="14.23046875"/>
    <col min="18" max="18" width="19"/>
    <col min="19" max="19" width="16.3828125"/>
    <col min="20" max="20" width="14.23046875"/>
    <col min="21" max="21" width="12.15234375"/>
    <col min="22" max="22" width="16.84375"/>
    <col min="23" max="23" width="11.61328125"/>
    <col min="24" max="24" width="16.3828125"/>
    <col min="25" max="25" width="16.84375"/>
    <col min="26" max="26" width="14.23046875"/>
    <col min="27" max="27" width="21.61328125"/>
    <col min="28" max="28" width="16.84375"/>
    <col min="29" max="29" width="19.4609375"/>
    <col min="30" max="30" width="16.84375"/>
    <col min="31" max="31" width="12.15234375"/>
    <col min="32" max="32" width="11.15234375"/>
    <col min="33" max="33" width="18.3828125"/>
    <col min="34" max="34" width="16.84375"/>
    <col min="35" max="35" width="12.15234375"/>
    <col min="36" max="36" width="11.61328125"/>
    <col min="37" max="38" width="14.23046875"/>
    <col min="39" max="39" width="16.3828125"/>
    <col min="40" max="42" width="11.61328125"/>
    <col min="43" max="43" width="16.3828125"/>
    <col min="44" max="44" width="11.61328125"/>
    <col min="45" max="45" width="14.23046875"/>
    <col min="46" max="47" width="11.61328125"/>
    <col min="48" max="49" width="14.23046875"/>
    <col min="50" max="50" width="16.3828125"/>
    <col min="51" max="52" width="11.61328125"/>
    <col min="53" max="54" width="16.84375"/>
    <col min="55" max="56" width="19.4609375"/>
    <col min="57" max="58" width="21.61328125"/>
    <col min="59" max="60" width="16.84375"/>
    <col min="61" max="61" width="11.61328125"/>
    <col min="62" max="62" width="32.61328125"/>
    <col min="63" max="63" width="27.3828125"/>
    <col min="64" max="64" width="30" style="3"/>
  </cols>
  <sheetData>
    <row r="1" spans="1:68" s="1" customFormat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7" t="s">
        <v>19</v>
      </c>
      <c r="U1" s="4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4" t="s">
        <v>32</v>
      </c>
      <c r="AH1" s="4" t="s">
        <v>33</v>
      </c>
      <c r="AI1" s="7" t="s">
        <v>34</v>
      </c>
      <c r="AJ1" s="10" t="s">
        <v>35</v>
      </c>
      <c r="AK1" s="7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4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1" t="s">
        <v>66</v>
      </c>
      <c r="BP1" s="1" t="s">
        <v>67</v>
      </c>
    </row>
    <row r="2" spans="1:68" s="2" customFormat="1" ht="22.5" customHeight="1">
      <c r="A2" s="4">
        <f t="array" ref="A2:BP2">_xlfn._xlws.FILTER(Sheet1!A:BP,Sheet1!B:B="吴兴涛")</f>
        <v>27</v>
      </c>
      <c r="B2" s="5" t="str">
        <v>吴兴涛</v>
      </c>
      <c r="C2" s="5" t="str">
        <v>香港K11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8">
        <v>38650</v>
      </c>
      <c r="U2" s="8">
        <v>332049.5</v>
      </c>
      <c r="V2" s="8">
        <v>0</v>
      </c>
      <c r="W2" s="8">
        <v>0</v>
      </c>
      <c r="X2" s="8">
        <v>0</v>
      </c>
      <c r="Y2" s="8">
        <v>0</v>
      </c>
      <c r="Z2" s="9">
        <v>0</v>
      </c>
      <c r="AA2" s="9">
        <v>0</v>
      </c>
      <c r="AB2" s="6">
        <v>370699.5</v>
      </c>
      <c r="AC2" s="8">
        <v>370699.5</v>
      </c>
      <c r="AD2" s="8">
        <v>287886.92</v>
      </c>
      <c r="AE2" s="8">
        <v>0</v>
      </c>
      <c r="AF2" s="8">
        <v>58234.5</v>
      </c>
      <c r="AG2" s="9">
        <v>0</v>
      </c>
      <c r="AH2" s="11">
        <v>0</v>
      </c>
      <c r="AI2" s="9">
        <v>346121.42</v>
      </c>
      <c r="AJ2" s="11">
        <v>0.93369810318060853</v>
      </c>
      <c r="AK2" s="6">
        <v>0</v>
      </c>
      <c r="AL2" s="12">
        <v>0</v>
      </c>
      <c r="AM2" s="12">
        <v>332049.5</v>
      </c>
      <c r="AN2" s="12">
        <v>0</v>
      </c>
      <c r="AO2" s="12">
        <v>0</v>
      </c>
      <c r="AP2" s="12">
        <v>0</v>
      </c>
      <c r="AQ2" s="13">
        <v>0</v>
      </c>
      <c r="AR2" s="12">
        <v>544396</v>
      </c>
      <c r="AS2" s="12">
        <v>544396</v>
      </c>
      <c r="AT2" s="12">
        <v>0</v>
      </c>
      <c r="AU2" s="12">
        <v>0</v>
      </c>
      <c r="AV2" s="13">
        <v>454091</v>
      </c>
      <c r="AW2" s="12">
        <v>0</v>
      </c>
      <c r="AX2" s="12">
        <v>454091</v>
      </c>
      <c r="AY2" s="12">
        <v>0</v>
      </c>
      <c r="AZ2" s="12">
        <v>0</v>
      </c>
      <c r="BA2" s="12">
        <v>0</v>
      </c>
      <c r="BB2" s="13">
        <v>0</v>
      </c>
      <c r="BC2" s="12">
        <v>13124</v>
      </c>
      <c r="BD2" s="12">
        <v>13124</v>
      </c>
      <c r="BE2" s="12">
        <v>140615.5</v>
      </c>
      <c r="BF2" s="12">
        <v>82381</v>
      </c>
      <c r="BG2" s="12">
        <v>0</v>
      </c>
      <c r="BH2" s="12">
        <v>0</v>
      </c>
      <c r="BI2" s="12">
        <v>0</v>
      </c>
      <c r="BJ2" s="12">
        <v>0</v>
      </c>
      <c r="BK2" s="13">
        <v>0</v>
      </c>
      <c r="BL2" s="9">
        <v>0</v>
      </c>
      <c r="BM2" s="9">
        <v>140615.5</v>
      </c>
      <c r="BN2" s="9">
        <v>10.714378238341901</v>
      </c>
      <c r="BO2" s="2">
        <v>0.68093722216915631</v>
      </c>
      <c r="BP2" s="2">
        <v>41.480950929594599</v>
      </c>
    </row>
    <row r="3" spans="1:68" s="2" customFormat="1" ht="16.5" customHeight="1">
      <c r="A3" s="17"/>
      <c r="B3" s="18"/>
      <c r="C3" s="18"/>
      <c r="S3" s="6"/>
      <c r="T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H3" s="19"/>
      <c r="AI3" s="6"/>
      <c r="AJ3" s="19"/>
      <c r="AK3" s="6"/>
      <c r="BG3" s="12"/>
      <c r="BH3" s="6"/>
      <c r="BI3" s="6"/>
      <c r="BJ3" s="6"/>
      <c r="BK3" s="6"/>
      <c r="BL3" s="6"/>
      <c r="BM3" s="6"/>
    </row>
    <row r="4" spans="1:68" s="2" customFormat="1" ht="16.5" customHeight="1">
      <c r="A4" s="17"/>
      <c r="B4" s="18"/>
      <c r="C4" s="18"/>
      <c r="S4" s="6"/>
      <c r="T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H4" s="19"/>
      <c r="AI4" s="6"/>
      <c r="AJ4" s="19"/>
      <c r="AK4" s="6"/>
      <c r="BG4" s="12"/>
      <c r="BH4" s="6"/>
      <c r="BI4" s="6"/>
      <c r="BJ4" s="6"/>
      <c r="BK4" s="6"/>
      <c r="BL4" s="6"/>
      <c r="BM4" s="6"/>
    </row>
    <row r="5" spans="1:68" s="2" customFormat="1" ht="16.5" customHeight="1">
      <c r="A5" s="17"/>
      <c r="B5" s="18"/>
      <c r="C5" s="18"/>
      <c r="S5" s="6"/>
      <c r="T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H5" s="19"/>
      <c r="AI5" s="6"/>
      <c r="AJ5" s="19"/>
      <c r="AK5" s="6"/>
      <c r="BG5" s="12"/>
      <c r="BH5" s="6"/>
      <c r="BI5" s="6"/>
      <c r="BJ5" s="6"/>
      <c r="BK5" s="6"/>
      <c r="BL5" s="6"/>
      <c r="BM5" s="6"/>
    </row>
    <row r="6" spans="1:68" s="2" customFormat="1" ht="16.5" customHeight="1">
      <c r="A6" s="17"/>
      <c r="B6" s="18"/>
      <c r="C6" s="18"/>
      <c r="S6" s="6"/>
      <c r="T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H6" s="19"/>
      <c r="AI6" s="6"/>
      <c r="AJ6" s="19"/>
      <c r="AK6" s="6"/>
      <c r="BG6" s="12"/>
      <c r="BH6" s="6"/>
      <c r="BI6" s="6"/>
      <c r="BJ6" s="6"/>
      <c r="BK6" s="6"/>
      <c r="BL6" s="6"/>
      <c r="BM6" s="6"/>
    </row>
    <row r="7" spans="1:68" s="2" customFormat="1" ht="16.5" customHeight="1">
      <c r="A7" s="17"/>
      <c r="B7" s="18"/>
      <c r="C7" s="18"/>
      <c r="S7" s="6"/>
      <c r="T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H7" s="19"/>
      <c r="AI7" s="6"/>
      <c r="AJ7" s="19"/>
      <c r="AK7" s="6"/>
      <c r="BG7" s="12"/>
      <c r="BH7" s="6"/>
      <c r="BI7" s="6"/>
      <c r="BJ7" s="6"/>
      <c r="BK7" s="6"/>
      <c r="BL7" s="6"/>
      <c r="BM7" s="6"/>
    </row>
    <row r="8" spans="1:68" s="2" customFormat="1" ht="16.5" customHeight="1">
      <c r="A8" s="17"/>
      <c r="B8" s="18"/>
      <c r="C8" s="18"/>
      <c r="S8" s="6"/>
      <c r="T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H8" s="19"/>
      <c r="AI8" s="6"/>
      <c r="AJ8" s="19"/>
      <c r="AK8" s="6"/>
      <c r="BG8" s="12"/>
      <c r="BH8" s="6"/>
      <c r="BI8" s="6"/>
      <c r="BJ8" s="6"/>
      <c r="BK8" s="6"/>
      <c r="BL8" s="6"/>
      <c r="BM8" s="6"/>
    </row>
    <row r="9" spans="1:68" s="2" customFormat="1" ht="16.5" customHeight="1">
      <c r="A9" s="17"/>
      <c r="B9" s="18"/>
      <c r="C9" s="18"/>
      <c r="S9" s="6"/>
      <c r="T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H9" s="19"/>
      <c r="AI9" s="6"/>
      <c r="AJ9" s="19"/>
      <c r="AK9" s="6"/>
      <c r="BG9" s="12"/>
      <c r="BH9" s="6"/>
      <c r="BI9" s="6"/>
      <c r="BJ9" s="6"/>
      <c r="BK9" s="6"/>
      <c r="BL9" s="6"/>
      <c r="BM9" s="6"/>
    </row>
    <row r="10" spans="1:68" s="2" customFormat="1" ht="16.5" customHeight="1">
      <c r="A10" s="17"/>
      <c r="B10" s="18"/>
      <c r="C10" s="18"/>
      <c r="S10" s="6"/>
      <c r="T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H10" s="19"/>
      <c r="AI10" s="6"/>
      <c r="AJ10" s="19"/>
      <c r="AK10" s="6"/>
      <c r="BG10" s="12"/>
      <c r="BH10" s="6"/>
      <c r="BI10" s="6"/>
      <c r="BJ10" s="6"/>
      <c r="BK10" s="6"/>
      <c r="BL10" s="6"/>
      <c r="BM10" s="6"/>
    </row>
    <row r="11" spans="1:68" s="2" customFormat="1" ht="16.5" customHeight="1">
      <c r="A11" s="17"/>
      <c r="B11" s="18"/>
      <c r="C11" s="18"/>
      <c r="S11" s="6"/>
      <c r="T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H11" s="19"/>
      <c r="AI11" s="6"/>
      <c r="AJ11" s="19"/>
      <c r="AK11" s="6"/>
      <c r="BG11" s="12"/>
      <c r="BH11" s="6"/>
      <c r="BI11" s="6"/>
      <c r="BJ11" s="6"/>
      <c r="BK11" s="6"/>
      <c r="BL11" s="6"/>
      <c r="BM11" s="6"/>
    </row>
    <row r="12" spans="1:68" s="2" customFormat="1" ht="16.5" customHeight="1">
      <c r="A12" s="17"/>
      <c r="B12" s="18"/>
      <c r="C12" s="18"/>
      <c r="S12" s="6"/>
      <c r="T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H12" s="19"/>
      <c r="AI12" s="6"/>
      <c r="AJ12" s="19"/>
      <c r="AK12" s="6"/>
      <c r="BG12" s="12"/>
      <c r="BH12" s="6"/>
      <c r="BI12" s="6"/>
      <c r="BJ12" s="6"/>
      <c r="BK12" s="6"/>
      <c r="BL12" s="6"/>
      <c r="BM12" s="6"/>
    </row>
    <row r="13" spans="1:68" s="2" customFormat="1" ht="16.5" customHeight="1">
      <c r="A13" s="17"/>
      <c r="B13" s="18"/>
      <c r="C13" s="18"/>
      <c r="S13" s="6"/>
      <c r="T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H13" s="19"/>
      <c r="AI13" s="6"/>
      <c r="AJ13" s="19"/>
      <c r="AK13" s="6"/>
      <c r="BG13" s="12"/>
      <c r="BH13" s="6"/>
      <c r="BI13" s="6"/>
      <c r="BJ13" s="6"/>
      <c r="BK13" s="6"/>
      <c r="BL13" s="6"/>
      <c r="BM13" s="6"/>
    </row>
    <row r="14" spans="1:68" s="2" customFormat="1" ht="16.5" customHeight="1">
      <c r="A14" s="17"/>
      <c r="B14" s="18"/>
      <c r="C14" s="18"/>
      <c r="S14" s="6"/>
      <c r="T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H14" s="19"/>
      <c r="AI14" s="6"/>
      <c r="AJ14" s="19"/>
      <c r="AK14" s="6"/>
      <c r="BG14" s="12"/>
      <c r="BH14" s="6"/>
      <c r="BI14" s="6"/>
      <c r="BJ14" s="6"/>
      <c r="BK14" s="6"/>
      <c r="BL14" s="6"/>
      <c r="BM14" s="6"/>
    </row>
    <row r="15" spans="1:68" s="2" customFormat="1" ht="16.5" customHeight="1">
      <c r="A15" s="17"/>
      <c r="B15" s="18"/>
      <c r="C15" s="18"/>
      <c r="S15" s="6"/>
      <c r="T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H15" s="19"/>
      <c r="AI15" s="6"/>
      <c r="AJ15" s="19"/>
      <c r="AK15" s="6"/>
      <c r="BG15" s="12"/>
      <c r="BH15" s="6"/>
      <c r="BI15" s="6"/>
      <c r="BJ15" s="6"/>
      <c r="BK15" s="6"/>
      <c r="BL15" s="6"/>
      <c r="BM15" s="6"/>
    </row>
    <row r="16" spans="1:68" s="2" customFormat="1" ht="16.5" customHeight="1">
      <c r="A16" s="17"/>
      <c r="B16" s="18"/>
      <c r="C16" s="18"/>
      <c r="S16" s="6"/>
      <c r="T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H16" s="19"/>
      <c r="AI16" s="6"/>
      <c r="AJ16" s="19"/>
      <c r="AK16" s="6"/>
      <c r="BG16" s="12"/>
      <c r="BH16" s="6"/>
      <c r="BI16" s="6"/>
      <c r="BJ16" s="6"/>
      <c r="BK16" s="6"/>
      <c r="BL16" s="6"/>
      <c r="BM16" s="6"/>
    </row>
    <row r="17" spans="1:65" s="2" customFormat="1" ht="16.5" customHeight="1">
      <c r="A17" s="17"/>
      <c r="B17" s="18"/>
      <c r="C17" s="18"/>
      <c r="S17" s="6"/>
      <c r="T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H17" s="19"/>
      <c r="AI17" s="6"/>
      <c r="AJ17" s="19"/>
      <c r="AK17" s="6"/>
      <c r="BG17" s="12"/>
      <c r="BH17" s="6"/>
      <c r="BI17" s="6"/>
      <c r="BJ17" s="6"/>
      <c r="BK17" s="6"/>
      <c r="BL17" s="6"/>
      <c r="BM17" s="6"/>
    </row>
  </sheetData>
  <phoneticPr fontId="13" type="noConversion"/>
  <conditionalFormatting sqref="AH2:AH17">
    <cfRule type="cellIs" dxfId="4" priority="1" operator="greaterThan">
      <formula>0.45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P17"/>
  <sheetViews>
    <sheetView workbookViewId="0"/>
  </sheetViews>
  <sheetFormatPr defaultColWidth="10" defaultRowHeight="20"/>
  <cols>
    <col min="1" max="1" width="6.3828125"/>
    <col min="2" max="2" width="9"/>
    <col min="3" max="3" width="27.3828125"/>
    <col min="4" max="5" width="11.61328125"/>
    <col min="6" max="7" width="14.23046875"/>
    <col min="8" max="8" width="11.61328125"/>
    <col min="9" max="9" width="14.23046875"/>
    <col min="10" max="10" width="11.61328125"/>
    <col min="11" max="13" width="14.23046875"/>
    <col min="14" max="14" width="16.84375"/>
    <col min="15" max="15" width="14.23046875"/>
    <col min="16" max="16" width="11.61328125"/>
    <col min="17" max="17" width="14.23046875"/>
    <col min="18" max="18" width="21.61328125"/>
    <col min="19" max="19" width="19"/>
    <col min="20" max="21" width="14.23046875"/>
    <col min="22" max="22" width="16.84375"/>
    <col min="23" max="23" width="11.61328125"/>
    <col min="24" max="24" width="14.23046875"/>
    <col min="25" max="25" width="16.84375"/>
    <col min="26" max="26" width="12.765625"/>
    <col min="27" max="27" width="24.3046875"/>
    <col min="28" max="28" width="16.84375"/>
    <col min="29" max="29" width="19.4609375"/>
    <col min="30" max="30" width="16.84375"/>
    <col min="31" max="31" width="14.23046875"/>
    <col min="32" max="32" width="11.53515625"/>
    <col min="33" max="33" width="18.84375"/>
    <col min="34" max="34" width="16.84375"/>
    <col min="35" max="35" width="14.23046875"/>
    <col min="36" max="36" width="11.61328125"/>
    <col min="37" max="38" width="14.23046875"/>
    <col min="39" max="39" width="19"/>
    <col min="40" max="42" width="11.61328125"/>
    <col min="43" max="43" width="19"/>
    <col min="44" max="44" width="11.61328125"/>
    <col min="45" max="45" width="14.23046875"/>
    <col min="46" max="47" width="11.61328125"/>
    <col min="48" max="49" width="14.23046875"/>
    <col min="50" max="50" width="19"/>
    <col min="51" max="52" width="11.61328125"/>
    <col min="53" max="54" width="16.84375"/>
    <col min="55" max="56" width="19.4609375"/>
    <col min="57" max="58" width="24.3046875"/>
    <col min="59" max="60" width="16.84375"/>
    <col min="61" max="61" width="11.61328125"/>
    <col min="62" max="62" width="32.61328125"/>
    <col min="63" max="63" width="27.3828125"/>
    <col min="64" max="64" width="30" style="3"/>
  </cols>
  <sheetData>
    <row r="1" spans="1:68" s="1" customFormat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7" t="s">
        <v>19</v>
      </c>
      <c r="U1" s="4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4" t="s">
        <v>32</v>
      </c>
      <c r="AH1" s="4" t="s">
        <v>33</v>
      </c>
      <c r="AI1" s="7" t="s">
        <v>34</v>
      </c>
      <c r="AJ1" s="10" t="s">
        <v>35</v>
      </c>
      <c r="AK1" s="7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4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1" t="s">
        <v>66</v>
      </c>
      <c r="BP1" s="1" t="s">
        <v>67</v>
      </c>
    </row>
    <row r="2" spans="1:68" s="2" customFormat="1" ht="22.5" customHeight="1">
      <c r="A2" s="4">
        <f t="array" ref="A2:BP2">_xlfn._xlws.FILTER(Sheet1!A:BP,Sheet1!B:B="文龙")</f>
        <v>28</v>
      </c>
      <c r="B2" s="5" t="str">
        <v>文龙</v>
      </c>
      <c r="C2" s="5" t="str">
        <v>香港沙田希尔顿物超柿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8">
        <v>125841.5</v>
      </c>
      <c r="U2" s="8">
        <v>63241</v>
      </c>
      <c r="V2" s="8">
        <v>0</v>
      </c>
      <c r="W2" s="8">
        <v>0</v>
      </c>
      <c r="X2" s="8">
        <v>0</v>
      </c>
      <c r="Y2" s="8">
        <v>0</v>
      </c>
      <c r="Z2" s="9">
        <v>0</v>
      </c>
      <c r="AA2" s="9">
        <v>0</v>
      </c>
      <c r="AB2" s="6">
        <v>189082.5</v>
      </c>
      <c r="AC2" s="8">
        <v>189082.5</v>
      </c>
      <c r="AD2" s="8">
        <v>117431.43</v>
      </c>
      <c r="AE2" s="8">
        <v>0</v>
      </c>
      <c r="AF2" s="8">
        <v>-49642</v>
      </c>
      <c r="AG2" s="9">
        <v>0</v>
      </c>
      <c r="AH2" s="11">
        <v>0</v>
      </c>
      <c r="AI2" s="9">
        <v>67789.429999999993</v>
      </c>
      <c r="AJ2" s="11">
        <v>0.35851773696666794</v>
      </c>
      <c r="AK2" s="6">
        <v>0</v>
      </c>
      <c r="AL2" s="12">
        <v>0</v>
      </c>
      <c r="AM2" s="12">
        <v>63241</v>
      </c>
      <c r="AN2" s="12">
        <v>0</v>
      </c>
      <c r="AO2" s="12">
        <v>0</v>
      </c>
      <c r="AP2" s="12">
        <v>0</v>
      </c>
      <c r="AQ2" s="13">
        <v>0</v>
      </c>
      <c r="AR2" s="12">
        <v>275411.5</v>
      </c>
      <c r="AS2" s="12">
        <v>275411.5</v>
      </c>
      <c r="AT2" s="12">
        <v>0</v>
      </c>
      <c r="AU2" s="12">
        <v>0</v>
      </c>
      <c r="AV2" s="13">
        <v>260465</v>
      </c>
      <c r="AW2" s="12">
        <v>0</v>
      </c>
      <c r="AX2" s="12">
        <v>260465</v>
      </c>
      <c r="AY2" s="12">
        <v>0</v>
      </c>
      <c r="AZ2" s="12">
        <v>0</v>
      </c>
      <c r="BA2" s="12">
        <v>0</v>
      </c>
      <c r="BB2" s="13">
        <v>0</v>
      </c>
      <c r="BC2" s="12">
        <v>5083</v>
      </c>
      <c r="BD2" s="12">
        <v>5083</v>
      </c>
      <c r="BE2" s="12">
        <v>60113</v>
      </c>
      <c r="BF2" s="12">
        <v>109755</v>
      </c>
      <c r="BG2" s="12">
        <v>0</v>
      </c>
      <c r="BH2" s="12">
        <v>0</v>
      </c>
      <c r="BI2" s="12">
        <v>0</v>
      </c>
      <c r="BJ2" s="12">
        <v>0</v>
      </c>
      <c r="BK2" s="13">
        <v>0</v>
      </c>
      <c r="BL2" s="9">
        <v>0</v>
      </c>
      <c r="BM2" s="9">
        <v>60113</v>
      </c>
      <c r="BN2" s="9">
        <v>11.826283690733799</v>
      </c>
      <c r="BO2" s="2">
        <v>0.68654540569293587</v>
      </c>
      <c r="BP2" s="2">
        <v>54.182864450127802</v>
      </c>
    </row>
    <row r="3" spans="1:68" s="2" customFormat="1" ht="16.5" customHeight="1">
      <c r="A3" s="17"/>
      <c r="B3" s="18"/>
      <c r="C3" s="18"/>
      <c r="S3" s="6"/>
      <c r="T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H3" s="19"/>
      <c r="AI3" s="6"/>
      <c r="AJ3" s="19"/>
      <c r="AK3" s="6"/>
      <c r="BG3" s="12"/>
      <c r="BH3" s="6"/>
      <c r="BI3" s="6"/>
      <c r="BJ3" s="6"/>
      <c r="BK3" s="6"/>
      <c r="BL3" s="6"/>
      <c r="BM3" s="6"/>
    </row>
    <row r="4" spans="1:68" s="2" customFormat="1" ht="16.5" customHeight="1">
      <c r="A4" s="17"/>
      <c r="B4" s="18"/>
      <c r="C4" s="18"/>
      <c r="S4" s="6"/>
      <c r="T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H4" s="19"/>
      <c r="AI4" s="6"/>
      <c r="AJ4" s="19"/>
      <c r="AK4" s="6"/>
      <c r="BG4" s="12"/>
      <c r="BH4" s="6"/>
      <c r="BI4" s="6"/>
      <c r="BJ4" s="6"/>
      <c r="BK4" s="6"/>
      <c r="BL4" s="6"/>
      <c r="BM4" s="6"/>
    </row>
    <row r="5" spans="1:68" s="2" customFormat="1" ht="16.5" customHeight="1">
      <c r="A5" s="17"/>
      <c r="B5" s="18"/>
      <c r="C5" s="18"/>
      <c r="S5" s="6"/>
      <c r="T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H5" s="19"/>
      <c r="AI5" s="6"/>
      <c r="AJ5" s="19"/>
      <c r="AK5" s="6"/>
      <c r="BG5" s="12"/>
      <c r="BH5" s="6"/>
      <c r="BI5" s="6"/>
      <c r="BJ5" s="6"/>
      <c r="BK5" s="6"/>
      <c r="BL5" s="6"/>
      <c r="BM5" s="6"/>
    </row>
    <row r="6" spans="1:68" s="2" customFormat="1" ht="16.5" customHeight="1">
      <c r="A6" s="17"/>
      <c r="B6" s="18"/>
      <c r="C6" s="18"/>
      <c r="S6" s="6"/>
      <c r="T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H6" s="19"/>
      <c r="AI6" s="6"/>
      <c r="AJ6" s="19"/>
      <c r="AK6" s="6"/>
      <c r="BG6" s="12"/>
      <c r="BH6" s="6"/>
      <c r="BI6" s="6"/>
      <c r="BJ6" s="6"/>
      <c r="BK6" s="6"/>
      <c r="BL6" s="6"/>
      <c r="BM6" s="6"/>
    </row>
    <row r="7" spans="1:68" s="2" customFormat="1" ht="16.5" customHeight="1">
      <c r="A7" s="17"/>
      <c r="B7" s="18"/>
      <c r="C7" s="18"/>
      <c r="S7" s="6"/>
      <c r="T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H7" s="19"/>
      <c r="AI7" s="6"/>
      <c r="AJ7" s="19"/>
      <c r="AK7" s="6"/>
      <c r="BG7" s="12"/>
      <c r="BH7" s="6"/>
      <c r="BI7" s="6"/>
      <c r="BJ7" s="6"/>
      <c r="BK7" s="6"/>
      <c r="BL7" s="6"/>
      <c r="BM7" s="6"/>
    </row>
    <row r="8" spans="1:68" s="2" customFormat="1" ht="16.5" customHeight="1">
      <c r="A8" s="17"/>
      <c r="B8" s="18"/>
      <c r="C8" s="18"/>
      <c r="S8" s="6"/>
      <c r="T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H8" s="19"/>
      <c r="AI8" s="6"/>
      <c r="AJ8" s="19"/>
      <c r="AK8" s="6"/>
      <c r="BG8" s="12"/>
      <c r="BH8" s="6"/>
      <c r="BI8" s="6"/>
      <c r="BJ8" s="6"/>
      <c r="BK8" s="6"/>
      <c r="BL8" s="6"/>
      <c r="BM8" s="6"/>
    </row>
    <row r="9" spans="1:68" s="2" customFormat="1" ht="16.5" customHeight="1">
      <c r="A9" s="17"/>
      <c r="B9" s="18"/>
      <c r="C9" s="18"/>
      <c r="S9" s="6"/>
      <c r="T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H9" s="19"/>
      <c r="AI9" s="6"/>
      <c r="AJ9" s="19"/>
      <c r="AK9" s="6"/>
      <c r="BG9" s="12"/>
      <c r="BH9" s="6"/>
      <c r="BI9" s="6"/>
      <c r="BJ9" s="6"/>
      <c r="BK9" s="6"/>
      <c r="BL9" s="6"/>
      <c r="BM9" s="6"/>
    </row>
    <row r="10" spans="1:68" s="2" customFormat="1" ht="16.5" customHeight="1">
      <c r="A10" s="17"/>
      <c r="B10" s="18"/>
      <c r="C10" s="18"/>
      <c r="S10" s="6"/>
      <c r="T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H10" s="19"/>
      <c r="AI10" s="6"/>
      <c r="AJ10" s="19"/>
      <c r="AK10" s="6"/>
      <c r="BG10" s="12"/>
      <c r="BH10" s="6"/>
      <c r="BI10" s="6"/>
      <c r="BJ10" s="6"/>
      <c r="BK10" s="6"/>
      <c r="BL10" s="6"/>
      <c r="BM10" s="6"/>
    </row>
    <row r="11" spans="1:68" s="2" customFormat="1" ht="16.5" customHeight="1">
      <c r="A11" s="17"/>
      <c r="B11" s="18"/>
      <c r="C11" s="18"/>
      <c r="S11" s="6"/>
      <c r="T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H11" s="19"/>
      <c r="AI11" s="6"/>
      <c r="AJ11" s="19"/>
      <c r="AK11" s="6"/>
      <c r="BG11" s="12"/>
      <c r="BH11" s="6"/>
      <c r="BI11" s="6"/>
      <c r="BJ11" s="6"/>
      <c r="BK11" s="6"/>
      <c r="BL11" s="6"/>
      <c r="BM11" s="6"/>
    </row>
    <row r="12" spans="1:68" s="2" customFormat="1" ht="16.5" customHeight="1">
      <c r="A12" s="17"/>
      <c r="B12" s="18"/>
      <c r="C12" s="18"/>
      <c r="S12" s="6"/>
      <c r="T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H12" s="19"/>
      <c r="AI12" s="6"/>
      <c r="AJ12" s="19"/>
      <c r="AK12" s="6"/>
      <c r="BG12" s="12"/>
      <c r="BH12" s="6"/>
      <c r="BI12" s="6"/>
      <c r="BJ12" s="6"/>
      <c r="BK12" s="6"/>
      <c r="BL12" s="6"/>
      <c r="BM12" s="6"/>
    </row>
    <row r="13" spans="1:68" s="2" customFormat="1" ht="16.5" customHeight="1">
      <c r="A13" s="17"/>
      <c r="B13" s="18"/>
      <c r="C13" s="18"/>
      <c r="S13" s="6"/>
      <c r="T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H13" s="19"/>
      <c r="AI13" s="6"/>
      <c r="AJ13" s="19"/>
      <c r="AK13" s="6"/>
      <c r="BG13" s="12"/>
      <c r="BH13" s="6"/>
      <c r="BI13" s="6"/>
      <c r="BJ13" s="6"/>
      <c r="BK13" s="6"/>
      <c r="BL13" s="6"/>
      <c r="BM13" s="6"/>
    </row>
    <row r="14" spans="1:68" s="2" customFormat="1" ht="16.5" customHeight="1">
      <c r="A14" s="17"/>
      <c r="B14" s="18"/>
      <c r="C14" s="18"/>
      <c r="S14" s="6"/>
      <c r="T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H14" s="19"/>
      <c r="AI14" s="6"/>
      <c r="AJ14" s="19"/>
      <c r="AK14" s="6"/>
      <c r="BG14" s="12"/>
      <c r="BH14" s="6"/>
      <c r="BI14" s="6"/>
      <c r="BJ14" s="6"/>
      <c r="BK14" s="6"/>
      <c r="BL14" s="6"/>
      <c r="BM14" s="6"/>
    </row>
    <row r="15" spans="1:68" s="2" customFormat="1" ht="16.5" customHeight="1">
      <c r="A15" s="17"/>
      <c r="B15" s="18"/>
      <c r="C15" s="18"/>
      <c r="S15" s="6"/>
      <c r="T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H15" s="19"/>
      <c r="AI15" s="6"/>
      <c r="AJ15" s="19"/>
      <c r="AK15" s="6"/>
      <c r="BG15" s="12"/>
      <c r="BH15" s="6"/>
      <c r="BI15" s="6"/>
      <c r="BJ15" s="6"/>
      <c r="BK15" s="6"/>
      <c r="BL15" s="6"/>
      <c r="BM15" s="6"/>
    </row>
    <row r="16" spans="1:68" s="2" customFormat="1" ht="16.5" customHeight="1">
      <c r="A16" s="17"/>
      <c r="B16" s="18"/>
      <c r="C16" s="18"/>
      <c r="S16" s="6"/>
      <c r="T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H16" s="19"/>
      <c r="AI16" s="6"/>
      <c r="AJ16" s="19"/>
      <c r="AK16" s="6"/>
      <c r="BG16" s="12"/>
      <c r="BH16" s="6"/>
      <c r="BI16" s="6"/>
      <c r="BJ16" s="6"/>
      <c r="BK16" s="6"/>
      <c r="BL16" s="6"/>
      <c r="BM16" s="6"/>
    </row>
    <row r="17" spans="1:65" s="2" customFormat="1" ht="16.5" customHeight="1">
      <c r="A17" s="17"/>
      <c r="B17" s="18"/>
      <c r="C17" s="18"/>
      <c r="S17" s="6"/>
      <c r="T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H17" s="19"/>
      <c r="AI17" s="6"/>
      <c r="AJ17" s="19"/>
      <c r="AK17" s="6"/>
      <c r="BG17" s="12"/>
      <c r="BH17" s="6"/>
      <c r="BI17" s="6"/>
      <c r="BJ17" s="6"/>
      <c r="BK17" s="6"/>
      <c r="BL17" s="6"/>
      <c r="BM17" s="6"/>
    </row>
  </sheetData>
  <phoneticPr fontId="13" type="noConversion"/>
  <conditionalFormatting sqref="AH2:AH17">
    <cfRule type="cellIs" dxfId="3" priority="1" operator="greaterThan">
      <formula>0.45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P19"/>
  <sheetViews>
    <sheetView workbookViewId="0"/>
  </sheetViews>
  <sheetFormatPr defaultColWidth="10" defaultRowHeight="20"/>
  <cols>
    <col min="1" max="1" width="6.3828125"/>
    <col min="2" max="2" width="9"/>
    <col min="3" max="3" width="19.4609375"/>
    <col min="4" max="5" width="11.61328125"/>
    <col min="6" max="7" width="14.23046875"/>
    <col min="8" max="8" width="11.61328125"/>
    <col min="9" max="9" width="14.23046875"/>
    <col min="10" max="10" width="11.61328125"/>
    <col min="11" max="13" width="14.23046875"/>
    <col min="14" max="14" width="16.84375"/>
    <col min="15" max="15" width="14.23046875"/>
    <col min="16" max="16" width="11.61328125"/>
    <col min="17" max="17" width="14.23046875"/>
    <col min="18" max="18" width="19"/>
    <col min="19" max="19" width="16.3828125"/>
    <col min="20" max="20" width="14.23046875"/>
    <col min="21" max="21" width="12.15234375"/>
    <col min="22" max="22" width="16.84375"/>
    <col min="23" max="23" width="11.61328125"/>
    <col min="24" max="24" width="12.15234375"/>
    <col min="25" max="25" width="16.84375"/>
    <col min="26" max="26" width="12.15234375"/>
    <col min="27" max="27" width="21.61328125"/>
    <col min="28" max="28" width="16.84375"/>
    <col min="29" max="29" width="19.4609375"/>
    <col min="30" max="30" width="16.84375"/>
    <col min="31" max="31" width="12.15234375"/>
    <col min="32" max="32" width="11.15234375"/>
    <col min="33" max="33" width="18.3828125"/>
    <col min="34" max="34" width="16.84375"/>
    <col min="35" max="35" width="12.15234375"/>
    <col min="36" max="36" width="11.61328125"/>
    <col min="37" max="38" width="14.23046875"/>
    <col min="39" max="39" width="16.3828125"/>
    <col min="40" max="42" width="11.61328125"/>
    <col min="43" max="43" width="16.3828125"/>
    <col min="44" max="44" width="11.61328125"/>
    <col min="45" max="45" width="14.23046875"/>
    <col min="46" max="47" width="11.61328125"/>
    <col min="48" max="49" width="14.23046875"/>
    <col min="50" max="50" width="16.3828125"/>
    <col min="51" max="52" width="11.61328125"/>
    <col min="53" max="54" width="16.84375"/>
    <col min="55" max="56" width="19.4609375"/>
    <col min="57" max="58" width="21.61328125"/>
    <col min="59" max="60" width="16.84375"/>
    <col min="61" max="61" width="11.61328125"/>
    <col min="62" max="62" width="32.61328125"/>
    <col min="63" max="63" width="27.3828125"/>
    <col min="64" max="64" width="30" style="3"/>
  </cols>
  <sheetData>
    <row r="1" spans="1:68" s="1" customFormat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7" t="s">
        <v>19</v>
      </c>
      <c r="U1" s="4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4" t="s">
        <v>32</v>
      </c>
      <c r="AH1" s="4" t="s">
        <v>33</v>
      </c>
      <c r="AI1" s="7" t="s">
        <v>34</v>
      </c>
      <c r="AJ1" s="10" t="s">
        <v>35</v>
      </c>
      <c r="AK1" s="7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4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1" t="s">
        <v>66</v>
      </c>
      <c r="BP1" s="1" t="s">
        <v>67</v>
      </c>
    </row>
    <row r="2" spans="1:68" s="2" customFormat="1" ht="22.5" customHeight="1">
      <c r="A2" s="4">
        <f t="array" ref="A2:BP4">_xlfn._xlws.FILTER(Sheet1!A:BP,Sheet1!B:B="王青")</f>
        <v>22</v>
      </c>
      <c r="B2" s="5" t="str">
        <v>王青</v>
      </c>
      <c r="C2" s="5" t="str">
        <v>上海宏伊广场</v>
      </c>
      <c r="D2" s="6">
        <v>5147.3500000000004</v>
      </c>
      <c r="E2" s="6">
        <v>24437.35</v>
      </c>
      <c r="F2" s="6">
        <v>21668.3</v>
      </c>
      <c r="G2" s="6">
        <v>51253</v>
      </c>
      <c r="H2" s="6">
        <v>9923.25</v>
      </c>
      <c r="I2" s="6">
        <v>501.08</v>
      </c>
      <c r="J2" s="6">
        <v>8020.45</v>
      </c>
      <c r="K2" s="6">
        <v>401.8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9">
        <v>0</v>
      </c>
      <c r="AA2" s="9">
        <v>0</v>
      </c>
      <c r="AB2" s="6">
        <v>69196.7</v>
      </c>
      <c r="AC2" s="8">
        <v>68017.186100000006</v>
      </c>
      <c r="AD2" s="8">
        <v>0</v>
      </c>
      <c r="AE2" s="8">
        <v>0</v>
      </c>
      <c r="AF2" s="8">
        <v>0</v>
      </c>
      <c r="AG2" s="9">
        <v>-113.25</v>
      </c>
      <c r="AH2" s="11">
        <v>0</v>
      </c>
      <c r="AI2" s="9">
        <v>-113.25</v>
      </c>
      <c r="AJ2" s="11">
        <v>-1.6366387414428723E-3</v>
      </c>
      <c r="AK2" s="6">
        <v>0</v>
      </c>
      <c r="AL2" s="12">
        <v>0</v>
      </c>
      <c r="AM2" s="12">
        <v>5147.3500000000004</v>
      </c>
      <c r="AN2" s="12">
        <v>76076.5</v>
      </c>
      <c r="AO2" s="12">
        <v>0</v>
      </c>
      <c r="AP2" s="12">
        <v>0</v>
      </c>
      <c r="AQ2" s="13">
        <v>0</v>
      </c>
      <c r="AR2" s="12">
        <v>0</v>
      </c>
      <c r="AS2" s="12">
        <v>76076.5</v>
      </c>
      <c r="AT2" s="12">
        <v>73204.5</v>
      </c>
      <c r="AU2" s="12">
        <v>0</v>
      </c>
      <c r="AV2" s="13">
        <v>0</v>
      </c>
      <c r="AW2" s="12">
        <v>0</v>
      </c>
      <c r="AX2" s="12">
        <v>73204.5</v>
      </c>
      <c r="AY2" s="12">
        <v>2147.5</v>
      </c>
      <c r="AZ2" s="12">
        <v>0</v>
      </c>
      <c r="BA2" s="12">
        <v>0</v>
      </c>
      <c r="BB2" s="13">
        <v>0</v>
      </c>
      <c r="BC2" s="12">
        <v>0</v>
      </c>
      <c r="BD2" s="12">
        <v>2147.5</v>
      </c>
      <c r="BE2" s="12">
        <v>0</v>
      </c>
      <c r="BF2" s="12">
        <v>0</v>
      </c>
      <c r="BG2" s="12">
        <v>1461</v>
      </c>
      <c r="BH2" s="12">
        <v>1536.5</v>
      </c>
      <c r="BI2" s="12">
        <v>0</v>
      </c>
      <c r="BJ2" s="12">
        <v>0</v>
      </c>
      <c r="BK2" s="13">
        <v>0</v>
      </c>
      <c r="BL2" s="9">
        <v>0</v>
      </c>
      <c r="BM2" s="9">
        <v>1461</v>
      </c>
      <c r="BN2" s="9">
        <v>0.68032596041909199</v>
      </c>
      <c r="BO2" s="2">
        <v>0.90956734339776402</v>
      </c>
      <c r="BP2" s="2">
        <v>35.425611175785797</v>
      </c>
    </row>
    <row r="3" spans="1:68" s="2" customFormat="1" ht="22.5" customHeight="1">
      <c r="A3" s="4">
        <v>23</v>
      </c>
      <c r="B3" s="5" t="str">
        <v>王青</v>
      </c>
      <c r="C3" s="5" t="str">
        <v>香港黄埔物超柿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8">
        <v>146998.79999999999</v>
      </c>
      <c r="U3" s="8">
        <v>314654.8</v>
      </c>
      <c r="V3" s="8">
        <v>0</v>
      </c>
      <c r="W3" s="8">
        <v>0</v>
      </c>
      <c r="X3" s="8">
        <v>0</v>
      </c>
      <c r="Y3" s="8">
        <v>0</v>
      </c>
      <c r="Z3" s="9">
        <v>0</v>
      </c>
      <c r="AA3" s="9">
        <v>0</v>
      </c>
      <c r="AB3" s="6">
        <v>461653.6</v>
      </c>
      <c r="AC3" s="8">
        <v>461653.6</v>
      </c>
      <c r="AD3" s="8">
        <v>190487.375</v>
      </c>
      <c r="AE3" s="8">
        <v>0</v>
      </c>
      <c r="AF3" s="8">
        <v>34425.5</v>
      </c>
      <c r="AG3" s="9">
        <v>0</v>
      </c>
      <c r="AH3" s="11">
        <v>0</v>
      </c>
      <c r="AI3" s="9">
        <v>224912.875</v>
      </c>
      <c r="AJ3" s="11">
        <v>0.4871896915782743</v>
      </c>
      <c r="AK3" s="6">
        <v>0</v>
      </c>
      <c r="AL3" s="12">
        <v>0</v>
      </c>
      <c r="AM3" s="12">
        <v>314654.8</v>
      </c>
      <c r="AN3" s="12">
        <v>0</v>
      </c>
      <c r="AO3" s="12">
        <v>0</v>
      </c>
      <c r="AP3" s="12">
        <v>0</v>
      </c>
      <c r="AQ3" s="13">
        <v>0</v>
      </c>
      <c r="AR3" s="12">
        <v>607582.5</v>
      </c>
      <c r="AS3" s="12">
        <v>607582.5</v>
      </c>
      <c r="AT3" s="12">
        <v>0</v>
      </c>
      <c r="AU3" s="12">
        <v>0</v>
      </c>
      <c r="AV3" s="13">
        <v>598338.5</v>
      </c>
      <c r="AW3" s="12">
        <v>0</v>
      </c>
      <c r="AX3" s="12">
        <v>598338.5</v>
      </c>
      <c r="AY3" s="12">
        <v>0</v>
      </c>
      <c r="AZ3" s="12">
        <v>0</v>
      </c>
      <c r="BA3" s="12">
        <v>0</v>
      </c>
      <c r="BB3" s="13">
        <v>0</v>
      </c>
      <c r="BC3" s="12">
        <v>14943.5</v>
      </c>
      <c r="BD3" s="12">
        <v>14943.5</v>
      </c>
      <c r="BE3" s="12">
        <v>74443.5</v>
      </c>
      <c r="BF3" s="12">
        <v>40018</v>
      </c>
      <c r="BG3" s="12">
        <v>0</v>
      </c>
      <c r="BH3" s="12">
        <v>0</v>
      </c>
      <c r="BI3" s="12">
        <v>0</v>
      </c>
      <c r="BJ3" s="12">
        <v>0</v>
      </c>
      <c r="BK3" s="13">
        <v>0</v>
      </c>
      <c r="BL3" s="9">
        <v>0</v>
      </c>
      <c r="BM3" s="9">
        <v>74443.5</v>
      </c>
      <c r="BN3" s="9">
        <v>4.9816642687456003</v>
      </c>
      <c r="BO3" s="2">
        <v>0.75982043590788073</v>
      </c>
      <c r="BP3" s="2">
        <v>40.658647572523101</v>
      </c>
    </row>
    <row r="4" spans="1:68" s="2" customFormat="1" ht="22.5" customHeight="1">
      <c r="A4" s="4">
        <v>24</v>
      </c>
      <c r="B4" s="5" t="str">
        <v>王青</v>
      </c>
      <c r="C4" s="5" t="str">
        <v>香港九龙城店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400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8">
        <v>0</v>
      </c>
      <c r="U4" s="8">
        <v>0</v>
      </c>
      <c r="V4" s="8">
        <v>294.5</v>
      </c>
      <c r="W4" s="8">
        <v>5.24</v>
      </c>
      <c r="X4" s="8">
        <v>0</v>
      </c>
      <c r="Y4" s="8">
        <v>0</v>
      </c>
      <c r="Z4" s="9">
        <v>0</v>
      </c>
      <c r="AA4" s="9">
        <v>14945</v>
      </c>
      <c r="AB4" s="6">
        <v>15639.5</v>
      </c>
      <c r="AC4" s="8">
        <v>15634.26</v>
      </c>
      <c r="AD4" s="8">
        <v>-9001</v>
      </c>
      <c r="AE4" s="8">
        <v>0</v>
      </c>
      <c r="AF4" s="8">
        <v>0</v>
      </c>
      <c r="AG4" s="9">
        <v>0</v>
      </c>
      <c r="AH4" s="11">
        <v>0</v>
      </c>
      <c r="AI4" s="9">
        <v>-9001</v>
      </c>
      <c r="AJ4" s="11">
        <v>-0.57552990824514849</v>
      </c>
      <c r="AK4" s="6">
        <v>0</v>
      </c>
      <c r="AL4" s="12">
        <v>0</v>
      </c>
      <c r="AM4" s="12">
        <v>400</v>
      </c>
      <c r="AN4" s="12">
        <v>0</v>
      </c>
      <c r="AO4" s="12">
        <v>199.5</v>
      </c>
      <c r="AP4" s="12">
        <v>0</v>
      </c>
      <c r="AQ4" s="13">
        <v>0</v>
      </c>
      <c r="AR4" s="12">
        <v>0</v>
      </c>
      <c r="AS4" s="12">
        <v>199.5</v>
      </c>
      <c r="AT4" s="12">
        <v>0</v>
      </c>
      <c r="AU4" s="12">
        <v>0</v>
      </c>
      <c r="AV4" s="13">
        <v>0</v>
      </c>
      <c r="AW4" s="12">
        <v>0</v>
      </c>
      <c r="AX4" s="12">
        <v>0</v>
      </c>
      <c r="AY4" s="12">
        <v>0</v>
      </c>
      <c r="AZ4" s="12">
        <v>3</v>
      </c>
      <c r="BA4" s="12">
        <v>0</v>
      </c>
      <c r="BB4" s="13">
        <v>0</v>
      </c>
      <c r="BC4" s="12">
        <v>0</v>
      </c>
      <c r="BD4" s="12">
        <v>3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3">
        <v>0</v>
      </c>
      <c r="BL4" s="9">
        <v>0</v>
      </c>
      <c r="BM4" s="9">
        <v>0</v>
      </c>
      <c r="BN4" s="9">
        <v>0</v>
      </c>
      <c r="BO4" s="2">
        <v>78.393483709273184</v>
      </c>
      <c r="BP4" s="2">
        <v>66.5</v>
      </c>
    </row>
    <row r="5" spans="1:68" s="2" customFormat="1" ht="16.5" customHeight="1">
      <c r="A5" s="17"/>
      <c r="B5" s="18"/>
      <c r="C5" s="18" t="s">
        <v>106</v>
      </c>
      <c r="S5" s="6"/>
      <c r="T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H5" s="19"/>
      <c r="AI5" s="6"/>
      <c r="AJ5" s="19"/>
      <c r="AK5" s="6"/>
      <c r="BG5" s="12"/>
      <c r="BH5" s="6"/>
      <c r="BI5" s="6"/>
      <c r="BJ5" s="6"/>
      <c r="BK5" s="6"/>
      <c r="BL5" s="6"/>
      <c r="BM5" s="6"/>
    </row>
    <row r="6" spans="1:68" s="2" customFormat="1" ht="16.5" customHeight="1">
      <c r="A6" s="17"/>
      <c r="B6" s="18"/>
      <c r="C6" s="18"/>
      <c r="S6" s="6"/>
      <c r="T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H6" s="19"/>
      <c r="AI6" s="6"/>
      <c r="AJ6" s="19"/>
      <c r="AK6" s="6"/>
      <c r="BG6" s="12"/>
      <c r="BH6" s="6"/>
      <c r="BI6" s="6"/>
      <c r="BJ6" s="6"/>
      <c r="BK6" s="6"/>
      <c r="BL6" s="6"/>
      <c r="BM6" s="6"/>
    </row>
    <row r="7" spans="1:68" s="2" customFormat="1" ht="16.5" customHeight="1">
      <c r="A7" s="17"/>
      <c r="B7" s="18"/>
      <c r="C7" s="18"/>
      <c r="S7" s="6"/>
      <c r="T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H7" s="19"/>
      <c r="AI7" s="6"/>
      <c r="AJ7" s="19"/>
      <c r="AK7" s="6"/>
      <c r="BG7" s="12"/>
      <c r="BH7" s="6"/>
      <c r="BI7" s="6"/>
      <c r="BJ7" s="6"/>
      <c r="BK7" s="6"/>
      <c r="BL7" s="6"/>
      <c r="BM7" s="6"/>
    </row>
    <row r="8" spans="1:68" s="2" customFormat="1" ht="16.5" customHeight="1">
      <c r="A8" s="17"/>
      <c r="B8" s="18"/>
      <c r="C8" s="18"/>
      <c r="S8" s="6"/>
      <c r="T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H8" s="19"/>
      <c r="AI8" s="6"/>
      <c r="AJ8" s="19"/>
      <c r="AK8" s="6"/>
      <c r="BG8" s="12"/>
      <c r="BH8" s="6"/>
      <c r="BI8" s="6"/>
      <c r="BJ8" s="6"/>
      <c r="BK8" s="6"/>
      <c r="BL8" s="6"/>
      <c r="BM8" s="6"/>
    </row>
    <row r="9" spans="1:68" s="2" customFormat="1" ht="16.5" customHeight="1">
      <c r="A9" s="17"/>
      <c r="B9" s="18"/>
      <c r="C9" s="18"/>
      <c r="S9" s="6"/>
      <c r="T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H9" s="19"/>
      <c r="AI9" s="6"/>
      <c r="AJ9" s="19"/>
      <c r="AK9" s="6"/>
      <c r="BG9" s="12"/>
      <c r="BH9" s="6"/>
      <c r="BI9" s="6"/>
      <c r="BJ9" s="6"/>
      <c r="BK9" s="6"/>
      <c r="BL9" s="6"/>
      <c r="BM9" s="6"/>
    </row>
    <row r="10" spans="1:68" s="2" customFormat="1" ht="16.5" customHeight="1">
      <c r="A10" s="17"/>
      <c r="B10" s="18"/>
      <c r="C10" s="18"/>
      <c r="S10" s="6"/>
      <c r="T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H10" s="19"/>
      <c r="AI10" s="6"/>
      <c r="AJ10" s="19"/>
      <c r="AK10" s="6"/>
      <c r="BG10" s="12"/>
      <c r="BH10" s="6"/>
      <c r="BI10" s="6"/>
      <c r="BJ10" s="6"/>
      <c r="BK10" s="6"/>
      <c r="BL10" s="6"/>
      <c r="BM10" s="6"/>
    </row>
    <row r="11" spans="1:68" s="2" customFormat="1" ht="16.5" customHeight="1">
      <c r="A11" s="17"/>
      <c r="B11" s="18"/>
      <c r="C11" s="18"/>
      <c r="S11" s="6"/>
      <c r="T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H11" s="19"/>
      <c r="AI11" s="6"/>
      <c r="AJ11" s="19"/>
      <c r="AK11" s="6"/>
      <c r="BG11" s="12"/>
      <c r="BH11" s="6"/>
      <c r="BI11" s="6"/>
      <c r="BJ11" s="6"/>
      <c r="BK11" s="6"/>
      <c r="BL11" s="6"/>
      <c r="BM11" s="6"/>
    </row>
    <row r="12" spans="1:68" s="2" customFormat="1" ht="16.5" customHeight="1">
      <c r="A12" s="17"/>
      <c r="B12" s="18"/>
      <c r="C12" s="18"/>
      <c r="S12" s="6"/>
      <c r="T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H12" s="19"/>
      <c r="AI12" s="6"/>
      <c r="AJ12" s="19"/>
      <c r="AK12" s="6"/>
      <c r="BG12" s="12"/>
      <c r="BH12" s="6"/>
      <c r="BI12" s="6"/>
      <c r="BJ12" s="6"/>
      <c r="BK12" s="6"/>
      <c r="BL12" s="6"/>
      <c r="BM12" s="6"/>
    </row>
    <row r="13" spans="1:68" s="2" customFormat="1" ht="16.5" customHeight="1">
      <c r="A13" s="17"/>
      <c r="B13" s="18"/>
      <c r="C13" s="18"/>
      <c r="S13" s="6"/>
      <c r="T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H13" s="19"/>
      <c r="AI13" s="6"/>
      <c r="AJ13" s="19"/>
      <c r="AK13" s="6"/>
      <c r="BG13" s="12"/>
      <c r="BH13" s="6"/>
      <c r="BI13" s="6"/>
      <c r="BJ13" s="6"/>
      <c r="BK13" s="6"/>
      <c r="BL13" s="6"/>
      <c r="BM13" s="6"/>
    </row>
    <row r="14" spans="1:68" s="2" customFormat="1" ht="16.5" customHeight="1">
      <c r="A14" s="17"/>
      <c r="B14" s="18"/>
      <c r="C14" s="18"/>
      <c r="S14" s="6"/>
      <c r="T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H14" s="19"/>
      <c r="AI14" s="6"/>
      <c r="AJ14" s="19"/>
      <c r="AK14" s="6"/>
      <c r="BG14" s="12"/>
      <c r="BH14" s="6"/>
      <c r="BI14" s="6"/>
      <c r="BJ14" s="6"/>
      <c r="BK14" s="6"/>
      <c r="BL14" s="6"/>
      <c r="BM14" s="6"/>
    </row>
    <row r="15" spans="1:68" s="2" customFormat="1" ht="16.5" customHeight="1">
      <c r="A15" s="17"/>
      <c r="B15" s="18"/>
      <c r="C15" s="18"/>
      <c r="S15" s="6"/>
      <c r="T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H15" s="19"/>
      <c r="AI15" s="6"/>
      <c r="AJ15" s="19"/>
      <c r="AK15" s="6"/>
      <c r="BG15" s="12"/>
      <c r="BH15" s="6"/>
      <c r="BI15" s="6"/>
      <c r="BJ15" s="6"/>
      <c r="BK15" s="6"/>
      <c r="BL15" s="6"/>
      <c r="BM15" s="6"/>
    </row>
    <row r="16" spans="1:68" s="2" customFormat="1" ht="16.5" customHeight="1">
      <c r="A16" s="17"/>
      <c r="B16" s="18"/>
      <c r="C16" s="18"/>
      <c r="S16" s="6"/>
      <c r="T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H16" s="19"/>
      <c r="AI16" s="6"/>
      <c r="AJ16" s="19"/>
      <c r="AK16" s="6"/>
      <c r="BG16" s="12"/>
      <c r="BH16" s="6"/>
      <c r="BI16" s="6"/>
      <c r="BJ16" s="6"/>
      <c r="BK16" s="6"/>
      <c r="BL16" s="6"/>
      <c r="BM16" s="6"/>
    </row>
    <row r="17" spans="1:65" s="2" customFormat="1" ht="16.5" customHeight="1">
      <c r="A17" s="17"/>
      <c r="B17" s="18"/>
      <c r="C17" s="18"/>
      <c r="S17" s="6"/>
      <c r="T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H17" s="19"/>
      <c r="AI17" s="6"/>
      <c r="AJ17" s="19"/>
      <c r="AK17" s="6"/>
      <c r="BG17" s="12"/>
      <c r="BH17" s="6"/>
      <c r="BI17" s="6"/>
      <c r="BJ17" s="6"/>
      <c r="BK17" s="6"/>
      <c r="BL17" s="6"/>
      <c r="BM17" s="6"/>
    </row>
    <row r="18" spans="1:65" s="2" customFormat="1" ht="16.5" customHeight="1">
      <c r="A18" s="17"/>
      <c r="B18" s="18"/>
      <c r="C18" s="18"/>
      <c r="S18" s="6"/>
      <c r="T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H18" s="19"/>
      <c r="AI18" s="6"/>
      <c r="AJ18" s="19"/>
      <c r="AK18" s="6"/>
      <c r="BG18" s="12"/>
      <c r="BH18" s="6"/>
      <c r="BI18" s="6"/>
      <c r="BJ18" s="6"/>
      <c r="BK18" s="6"/>
      <c r="BL18" s="6"/>
      <c r="BM18" s="6"/>
    </row>
    <row r="19" spans="1:65" s="2" customFormat="1" ht="16.5" customHeight="1">
      <c r="A19" s="17"/>
      <c r="B19" s="18"/>
      <c r="C19" s="18"/>
      <c r="S19" s="6"/>
      <c r="T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H19" s="19"/>
      <c r="AI19" s="6"/>
      <c r="AJ19" s="19"/>
      <c r="AK19" s="6"/>
      <c r="BG19" s="12"/>
      <c r="BH19" s="6"/>
      <c r="BI19" s="6"/>
      <c r="BJ19" s="6"/>
      <c r="BK19" s="6"/>
      <c r="BL19" s="6"/>
      <c r="BM19" s="6"/>
    </row>
  </sheetData>
  <phoneticPr fontId="13" type="noConversion"/>
  <conditionalFormatting sqref="AH2:AH19">
    <cfRule type="cellIs" dxfId="2" priority="1" operator="greaterThan">
      <formula>0.45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P200"/>
  <sheetViews>
    <sheetView workbookViewId="0"/>
  </sheetViews>
  <sheetFormatPr defaultColWidth="10" defaultRowHeight="15.5"/>
  <cols>
    <col min="1" max="1" width="6.3828125"/>
    <col min="2" max="2" width="9"/>
    <col min="3" max="3" width="36.69140625"/>
    <col min="4" max="5" width="11.61328125"/>
    <col min="6" max="7" width="14.23046875"/>
    <col min="8" max="8" width="12.765625"/>
    <col min="9" max="9" width="14.23046875"/>
    <col min="10" max="10" width="11.61328125"/>
    <col min="11" max="13" width="14.23046875"/>
    <col min="14" max="14" width="16.84375"/>
    <col min="15" max="15" width="14.23046875"/>
    <col min="16" max="16" width="11.61328125"/>
    <col min="17" max="17" width="14.23046875"/>
    <col min="18" max="18" width="19"/>
    <col min="19" max="19" width="16.3828125"/>
    <col min="20" max="20" width="14.23046875"/>
    <col min="21" max="21" width="12.15234375"/>
    <col min="22" max="22" width="16.84375"/>
    <col min="23" max="23" width="11.61328125"/>
    <col min="24" max="24" width="12.15234375"/>
    <col min="25" max="25" width="16.84375"/>
    <col min="26" max="26" width="11.61328125"/>
    <col min="27" max="27" width="21.61328125"/>
    <col min="28" max="28" width="16.84375"/>
    <col min="29" max="29" width="19.4609375"/>
    <col min="30" max="30" width="16.84375"/>
    <col min="31" max="31" width="12.15234375"/>
    <col min="32" max="32" width="11.15234375"/>
    <col min="33" max="33" width="18.3828125"/>
    <col min="34" max="34" width="16.84375"/>
    <col min="35" max="35" width="12.15234375"/>
    <col min="36" max="36" width="11.61328125"/>
    <col min="37" max="38" width="14.23046875"/>
    <col min="39" max="39" width="16.3828125"/>
    <col min="40" max="42" width="11.61328125"/>
    <col min="43" max="43" width="16.3828125"/>
    <col min="44" max="44" width="11.61328125"/>
    <col min="45" max="45" width="14.23046875"/>
    <col min="46" max="47" width="11.61328125"/>
    <col min="48" max="49" width="14.23046875"/>
    <col min="50" max="50" width="16.3828125"/>
    <col min="51" max="52" width="11.61328125"/>
    <col min="53" max="54" width="16.84375"/>
    <col min="55" max="56" width="19.4609375"/>
    <col min="57" max="58" width="21.61328125"/>
    <col min="59" max="60" width="16.84375"/>
    <col min="61" max="61" width="11.61328125"/>
    <col min="62" max="62" width="32.61328125"/>
    <col min="63" max="63" width="27.3828125"/>
    <col min="64" max="64" width="30" style="15"/>
  </cols>
  <sheetData>
    <row r="1" spans="1:68" s="1" customFormat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7" t="s">
        <v>19</v>
      </c>
      <c r="U1" s="4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4" t="s">
        <v>32</v>
      </c>
      <c r="AH1" s="4" t="s">
        <v>33</v>
      </c>
      <c r="AI1" s="7" t="s">
        <v>34</v>
      </c>
      <c r="AJ1" s="10" t="s">
        <v>35</v>
      </c>
      <c r="AK1" s="7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4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1" t="s">
        <v>66</v>
      </c>
      <c r="BP1" s="1" t="s">
        <v>67</v>
      </c>
    </row>
    <row r="2" spans="1:68" s="2" customFormat="1" ht="22.5" customHeight="1">
      <c r="A2" s="4">
        <f t="array" ref="A2:BP5">_xlfn._xlws.FILTER(Sheet1!A:BP,Sheet1!B:B="徐丹")</f>
        <v>29</v>
      </c>
      <c r="B2" s="5" t="str">
        <v>徐丹</v>
      </c>
      <c r="C2" s="5" t="str">
        <v>香港如心物超柿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38859</v>
      </c>
      <c r="S2" s="6">
        <v>29746.5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9">
        <v>0</v>
      </c>
      <c r="AA2" s="9">
        <v>0</v>
      </c>
      <c r="AB2" s="6">
        <v>68605.5</v>
      </c>
      <c r="AC2" s="8">
        <v>68605.5</v>
      </c>
      <c r="AD2" s="8">
        <v>9377.75</v>
      </c>
      <c r="AE2" s="8">
        <v>1537.5</v>
      </c>
      <c r="AF2" s="8">
        <v>0</v>
      </c>
      <c r="AG2" s="9">
        <v>0</v>
      </c>
      <c r="AH2" s="11">
        <v>0</v>
      </c>
      <c r="AI2" s="9">
        <v>10915.25</v>
      </c>
      <c r="AJ2" s="11">
        <v>0.15910167552164184</v>
      </c>
      <c r="AK2" s="6">
        <v>0</v>
      </c>
      <c r="AL2" s="12">
        <v>0</v>
      </c>
      <c r="AM2" s="12">
        <v>29746.5</v>
      </c>
      <c r="AN2" s="12">
        <v>0</v>
      </c>
      <c r="AO2" s="12">
        <v>0</v>
      </c>
      <c r="AP2" s="12">
        <v>0</v>
      </c>
      <c r="AQ2" s="13">
        <v>0</v>
      </c>
      <c r="AR2" s="12">
        <v>0</v>
      </c>
      <c r="AS2" s="12">
        <v>0</v>
      </c>
      <c r="AT2" s="12">
        <v>0</v>
      </c>
      <c r="AU2" s="12">
        <v>79453</v>
      </c>
      <c r="AV2" s="13">
        <v>0</v>
      </c>
      <c r="AW2" s="12">
        <v>0</v>
      </c>
      <c r="AX2" s="12">
        <v>79453</v>
      </c>
      <c r="AY2" s="12">
        <v>0</v>
      </c>
      <c r="AZ2" s="12">
        <v>0</v>
      </c>
      <c r="BA2" s="12">
        <v>0</v>
      </c>
      <c r="BB2" s="13">
        <v>1692.5</v>
      </c>
      <c r="BC2" s="12">
        <v>0</v>
      </c>
      <c r="BD2" s="12">
        <v>1692.5</v>
      </c>
      <c r="BE2" s="12">
        <v>0</v>
      </c>
      <c r="BF2" s="12">
        <v>0</v>
      </c>
      <c r="BG2" s="12">
        <v>0</v>
      </c>
      <c r="BH2" s="12">
        <v>0</v>
      </c>
      <c r="BI2" s="12">
        <v>13304.5</v>
      </c>
      <c r="BJ2" s="12">
        <v>11767</v>
      </c>
      <c r="BK2" s="13">
        <v>0</v>
      </c>
      <c r="BL2" s="9">
        <v>0</v>
      </c>
      <c r="BM2" s="9">
        <v>13304.5</v>
      </c>
      <c r="BN2" s="9">
        <v>7.8608567208271696</v>
      </c>
      <c r="BO2" s="2">
        <v>0</v>
      </c>
      <c r="BP2" s="2">
        <v>0</v>
      </c>
    </row>
    <row r="3" spans="1:68" s="2" customFormat="1" ht="22.5" customHeight="1">
      <c r="A3" s="4">
        <v>30</v>
      </c>
      <c r="B3" s="5" t="str">
        <v>徐丹</v>
      </c>
      <c r="C3" s="5" t="str">
        <v>香港荃湾FF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8">
        <v>100899.45</v>
      </c>
      <c r="U3" s="8">
        <v>67393.5</v>
      </c>
      <c r="V3" s="8">
        <v>0</v>
      </c>
      <c r="W3" s="8">
        <v>0</v>
      </c>
      <c r="X3" s="8" t="str">
        <v>106</v>
      </c>
      <c r="Y3" s="8">
        <v>0</v>
      </c>
      <c r="Z3" s="9">
        <v>0</v>
      </c>
      <c r="AA3" s="9">
        <v>0</v>
      </c>
      <c r="AB3" s="6">
        <v>168292.95</v>
      </c>
      <c r="AC3" s="8">
        <v>168292.95</v>
      </c>
      <c r="AD3" s="8">
        <v>142508.01999999999</v>
      </c>
      <c r="AE3" s="8">
        <v>0</v>
      </c>
      <c r="AF3" s="8">
        <v>-23491.5</v>
      </c>
      <c r="AG3" s="9">
        <v>0</v>
      </c>
      <c r="AH3" s="11">
        <v>0</v>
      </c>
      <c r="AI3" s="9">
        <v>119016.519999999</v>
      </c>
      <c r="AJ3" s="11">
        <v>0.7071984893009422</v>
      </c>
      <c r="AK3" s="6">
        <v>0</v>
      </c>
      <c r="AL3" s="12">
        <v>0</v>
      </c>
      <c r="AM3" s="12">
        <v>67393.5</v>
      </c>
      <c r="AN3" s="12">
        <v>0</v>
      </c>
      <c r="AO3" s="12">
        <v>0</v>
      </c>
      <c r="AP3" s="12">
        <v>0</v>
      </c>
      <c r="AQ3" s="13">
        <v>0</v>
      </c>
      <c r="AR3" s="12">
        <v>274303</v>
      </c>
      <c r="AS3" s="12">
        <v>274303</v>
      </c>
      <c r="AT3" s="12">
        <v>0</v>
      </c>
      <c r="AU3" s="12">
        <v>0</v>
      </c>
      <c r="AV3" s="13">
        <v>199626.5</v>
      </c>
      <c r="AW3" s="12">
        <v>0</v>
      </c>
      <c r="AX3" s="12">
        <v>199626.5</v>
      </c>
      <c r="AY3" s="12">
        <v>0</v>
      </c>
      <c r="AZ3" s="12">
        <v>0</v>
      </c>
      <c r="BA3" s="12">
        <v>0</v>
      </c>
      <c r="BB3" s="13">
        <v>0</v>
      </c>
      <c r="BC3" s="12">
        <v>9402</v>
      </c>
      <c r="BD3" s="12">
        <v>9402</v>
      </c>
      <c r="BE3" s="12">
        <v>112229.5</v>
      </c>
      <c r="BF3" s="12">
        <v>135721</v>
      </c>
      <c r="BG3" s="12">
        <v>0</v>
      </c>
      <c r="BH3" s="12">
        <v>0</v>
      </c>
      <c r="BI3" s="12">
        <v>0</v>
      </c>
      <c r="BJ3" s="12">
        <v>0</v>
      </c>
      <c r="BK3" s="13">
        <v>0</v>
      </c>
      <c r="BL3" s="9">
        <v>0</v>
      </c>
      <c r="BM3" s="9">
        <v>112229.5</v>
      </c>
      <c r="BN3" s="9">
        <v>11.9367687726015</v>
      </c>
      <c r="BO3" s="2">
        <v>0.61352938174208815</v>
      </c>
      <c r="BP3" s="2">
        <v>29.174962773877802</v>
      </c>
    </row>
    <row r="4" spans="1:68" s="2" customFormat="1" ht="22.5" customHeight="1">
      <c r="A4" s="4">
        <v>31</v>
      </c>
      <c r="B4" s="5" t="str">
        <v>徐丹</v>
      </c>
      <c r="C4" s="5" t="str">
        <v>香港大学物超柿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8">
        <v>3268.5</v>
      </c>
      <c r="U4" s="8">
        <v>8432</v>
      </c>
      <c r="V4" s="8">
        <v>0</v>
      </c>
      <c r="W4" s="8">
        <v>0</v>
      </c>
      <c r="X4" s="8">
        <v>0</v>
      </c>
      <c r="Y4" s="8">
        <v>0</v>
      </c>
      <c r="Z4" s="9">
        <v>0</v>
      </c>
      <c r="AA4" s="9">
        <v>0</v>
      </c>
      <c r="AB4" s="6">
        <v>11700.5</v>
      </c>
      <c r="AC4" s="8">
        <v>11700.5</v>
      </c>
      <c r="AD4" s="8">
        <v>17228.275000000001</v>
      </c>
      <c r="AE4" s="8">
        <v>0</v>
      </c>
      <c r="AF4" s="8">
        <v>-10868</v>
      </c>
      <c r="AG4" s="9">
        <v>0</v>
      </c>
      <c r="AH4" s="11">
        <v>0</v>
      </c>
      <c r="AI4" s="9">
        <v>6360.2749999999996</v>
      </c>
      <c r="AJ4" s="11">
        <v>0.54359001752061875</v>
      </c>
      <c r="AK4" s="6">
        <v>0</v>
      </c>
      <c r="AL4" s="12">
        <v>0</v>
      </c>
      <c r="AM4" s="12">
        <v>8432</v>
      </c>
      <c r="AN4" s="12">
        <v>0</v>
      </c>
      <c r="AO4" s="12">
        <v>0</v>
      </c>
      <c r="AP4" s="12">
        <v>0</v>
      </c>
      <c r="AQ4" s="13">
        <v>0</v>
      </c>
      <c r="AR4" s="12">
        <v>14412</v>
      </c>
      <c r="AS4" s="12">
        <v>14412</v>
      </c>
      <c r="AT4" s="12">
        <v>0</v>
      </c>
      <c r="AU4" s="12">
        <v>0</v>
      </c>
      <c r="AV4" s="13">
        <v>10715</v>
      </c>
      <c r="AW4" s="12">
        <v>0</v>
      </c>
      <c r="AX4" s="12">
        <v>10715</v>
      </c>
      <c r="AY4" s="12">
        <v>0</v>
      </c>
      <c r="AZ4" s="12">
        <v>0</v>
      </c>
      <c r="BA4" s="12">
        <v>0</v>
      </c>
      <c r="BB4" s="13">
        <v>0</v>
      </c>
      <c r="BC4" s="12">
        <v>180.5</v>
      </c>
      <c r="BD4" s="12">
        <v>180.5</v>
      </c>
      <c r="BE4" s="12">
        <v>1335.5</v>
      </c>
      <c r="BF4" s="12">
        <v>12203.5</v>
      </c>
      <c r="BG4" s="12">
        <v>0</v>
      </c>
      <c r="BH4" s="12">
        <v>0</v>
      </c>
      <c r="BI4" s="12">
        <v>0</v>
      </c>
      <c r="BJ4" s="12">
        <v>0</v>
      </c>
      <c r="BK4" s="13">
        <v>0</v>
      </c>
      <c r="BL4" s="9">
        <v>0</v>
      </c>
      <c r="BM4" s="9">
        <v>1335.5</v>
      </c>
      <c r="BN4" s="9">
        <v>7.3988919667589998</v>
      </c>
      <c r="BO4" s="2">
        <v>0.81185817374410219</v>
      </c>
      <c r="BP4" s="2">
        <v>79.844875346260395</v>
      </c>
    </row>
    <row r="5" spans="1:68" s="2" customFormat="1" ht="22.5" customHeight="1">
      <c r="A5" s="4">
        <v>32</v>
      </c>
      <c r="B5" s="5" t="str">
        <v>徐丹</v>
      </c>
      <c r="C5" s="5" t="str">
        <v xml:space="preserve"> Figgy Finds娃娃市集(罗湖店)</v>
      </c>
      <c r="D5" s="6">
        <v>0</v>
      </c>
      <c r="E5" s="6">
        <v>0</v>
      </c>
      <c r="F5" s="6">
        <v>0</v>
      </c>
      <c r="G5" s="6">
        <v>0</v>
      </c>
      <c r="H5" s="6">
        <v>31215.45</v>
      </c>
      <c r="I5" s="6">
        <v>1587.6849999999999</v>
      </c>
      <c r="J5" s="6">
        <v>19749.349999999999</v>
      </c>
      <c r="K5" s="6">
        <v>1358.915</v>
      </c>
      <c r="L5" s="6">
        <v>0</v>
      </c>
      <c r="M5" s="6">
        <v>1964.7</v>
      </c>
      <c r="N5" s="6">
        <v>40365.800000000003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9">
        <v>0</v>
      </c>
      <c r="AA5" s="9">
        <v>0</v>
      </c>
      <c r="AB5" s="6">
        <v>93295.3</v>
      </c>
      <c r="AC5" s="8">
        <v>90106.5052</v>
      </c>
      <c r="AD5" s="8">
        <v>11255.5</v>
      </c>
      <c r="AE5" s="8">
        <v>0</v>
      </c>
      <c r="AF5" s="8">
        <v>0</v>
      </c>
      <c r="AG5" s="9">
        <v>11943</v>
      </c>
      <c r="AH5" s="11">
        <v>0</v>
      </c>
      <c r="AI5" s="9">
        <v>23198.5</v>
      </c>
      <c r="AJ5" s="11">
        <v>0.24865668474188946</v>
      </c>
      <c r="AK5" s="6">
        <v>0</v>
      </c>
      <c r="AL5" s="12">
        <v>0</v>
      </c>
      <c r="AM5" s="12">
        <v>1964.7</v>
      </c>
      <c r="AN5" s="12">
        <v>0</v>
      </c>
      <c r="AO5" s="12">
        <v>117942.5</v>
      </c>
      <c r="AP5" s="12">
        <v>0</v>
      </c>
      <c r="AQ5" s="13">
        <v>0</v>
      </c>
      <c r="AR5" s="12">
        <v>0</v>
      </c>
      <c r="AS5" s="12">
        <v>117942.5</v>
      </c>
      <c r="AT5" s="12">
        <v>0</v>
      </c>
      <c r="AU5" s="12">
        <v>0</v>
      </c>
      <c r="AV5" s="13">
        <v>0</v>
      </c>
      <c r="AW5" s="12">
        <v>113000.5</v>
      </c>
      <c r="AX5" s="12">
        <v>113000.5</v>
      </c>
      <c r="AY5" s="12">
        <v>0</v>
      </c>
      <c r="AZ5" s="12">
        <v>2603</v>
      </c>
      <c r="BA5" s="12">
        <v>0</v>
      </c>
      <c r="BB5" s="13">
        <v>0</v>
      </c>
      <c r="BC5" s="12">
        <v>0</v>
      </c>
      <c r="BD5" s="12">
        <v>2603</v>
      </c>
      <c r="BE5" s="12">
        <v>0</v>
      </c>
      <c r="BF5" s="12">
        <v>0</v>
      </c>
      <c r="BG5" s="12">
        <v>10943</v>
      </c>
      <c r="BH5" s="12">
        <v>2981</v>
      </c>
      <c r="BI5" s="12">
        <v>0</v>
      </c>
      <c r="BJ5" s="12">
        <v>0</v>
      </c>
      <c r="BK5" s="13">
        <v>0</v>
      </c>
      <c r="BL5" s="9">
        <v>0</v>
      </c>
      <c r="BM5" s="9">
        <v>10943</v>
      </c>
      <c r="BN5" s="9">
        <v>4.2039953899346898</v>
      </c>
      <c r="BO5" s="2">
        <v>0.7910235920045785</v>
      </c>
      <c r="BP5" s="2">
        <v>45.3102189781021</v>
      </c>
    </row>
    <row r="6" spans="1:68" ht="16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</row>
    <row r="7" spans="1:68" ht="16.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</row>
    <row r="8" spans="1:68" ht="16.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</row>
    <row r="9" spans="1:68" ht="16.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</row>
    <row r="10" spans="1:68" ht="16.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</row>
    <row r="11" spans="1:68" ht="16.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</row>
    <row r="12" spans="1:68" ht="16.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</row>
    <row r="13" spans="1:68" ht="16.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</row>
    <row r="14" spans="1:68" ht="16.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</row>
    <row r="15" spans="1:68" ht="16.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</row>
    <row r="16" spans="1:68" ht="16.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</row>
    <row r="17" spans="1:60" ht="16.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</row>
    <row r="18" spans="1:60" ht="16.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</row>
    <row r="19" spans="1:60" ht="16.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</row>
    <row r="20" spans="1:60" ht="16.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</row>
    <row r="21" spans="1:60" ht="16.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</row>
    <row r="22" spans="1:60" ht="16.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</row>
    <row r="23" spans="1:60" ht="16.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</row>
    <row r="24" spans="1:60" ht="16.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</row>
    <row r="25" spans="1:60" ht="16.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</row>
    <row r="26" spans="1:60" ht="16.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</row>
    <row r="27" spans="1:60" ht="16.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</row>
    <row r="28" spans="1:60" ht="16.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</row>
    <row r="29" spans="1:60" ht="16.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</row>
    <row r="30" spans="1:60" ht="16.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</row>
    <row r="31" spans="1:60" ht="16.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</row>
    <row r="32" spans="1:60" ht="16.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</row>
    <row r="33" spans="1:60" ht="16.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</row>
    <row r="34" spans="1:60" ht="16.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</row>
    <row r="35" spans="1:60" ht="16.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</row>
    <row r="36" spans="1:60" ht="16.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</row>
    <row r="37" spans="1:60" ht="16.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</row>
    <row r="38" spans="1:60" ht="16.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</row>
    <row r="39" spans="1:60" ht="16.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</row>
    <row r="40" spans="1:60" ht="16.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</row>
    <row r="41" spans="1:60" ht="16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</row>
    <row r="42" spans="1:60" ht="16.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</row>
    <row r="43" spans="1:60" ht="16.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</row>
    <row r="44" spans="1:60" ht="16.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</row>
    <row r="45" spans="1:60" ht="16.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</row>
    <row r="46" spans="1:60" ht="16.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</row>
    <row r="47" spans="1:60" ht="16.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</row>
    <row r="48" spans="1:60" ht="16.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</row>
    <row r="49" spans="1:60" ht="16.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</row>
    <row r="50" spans="1:60" ht="16.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</row>
    <row r="51" spans="1:60" ht="16.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</row>
    <row r="52" spans="1:60" ht="16.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</row>
    <row r="53" spans="1:60" ht="16.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</row>
    <row r="54" spans="1:60" ht="16.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</row>
    <row r="55" spans="1:60" ht="16.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</row>
    <row r="56" spans="1:60" ht="16.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</row>
    <row r="57" spans="1:60" ht="16.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</row>
    <row r="58" spans="1:60" ht="16.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</row>
    <row r="59" spans="1:60" ht="16.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</row>
    <row r="60" spans="1:60" ht="16.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</row>
    <row r="61" spans="1:60" ht="16.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</row>
    <row r="62" spans="1:60" ht="16.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</row>
    <row r="63" spans="1:60" ht="16.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</row>
    <row r="64" spans="1:60" ht="16.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</row>
    <row r="65" spans="1:60" ht="16.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</row>
    <row r="66" spans="1:60" ht="16.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</row>
    <row r="67" spans="1:60" ht="16.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</row>
    <row r="68" spans="1:60" ht="16.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</row>
    <row r="69" spans="1:60" ht="16.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</row>
    <row r="70" spans="1:60" ht="16.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</row>
    <row r="71" spans="1:60" ht="16.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</row>
    <row r="72" spans="1:60" ht="16.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</row>
    <row r="73" spans="1:60" ht="16.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</row>
    <row r="74" spans="1:60" ht="16.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</row>
    <row r="75" spans="1:60" ht="16.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</row>
    <row r="76" spans="1:60" ht="16.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</row>
    <row r="77" spans="1:60" ht="16.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</row>
    <row r="78" spans="1:60" ht="16.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</row>
    <row r="79" spans="1:60" ht="16.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</row>
    <row r="80" spans="1:60" ht="16.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</row>
    <row r="81" spans="1:60" ht="16.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</row>
    <row r="82" spans="1:60" ht="16.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</row>
    <row r="83" spans="1:60" ht="16.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</row>
    <row r="84" spans="1:60" ht="16.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</row>
    <row r="85" spans="1:60" ht="16.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</row>
    <row r="86" spans="1:60" ht="16.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</row>
    <row r="87" spans="1:60" ht="16.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</row>
    <row r="88" spans="1:60" ht="16.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</row>
    <row r="89" spans="1:60" ht="16.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</row>
    <row r="90" spans="1:60" ht="16.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</row>
    <row r="91" spans="1:60" ht="16.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</row>
    <row r="92" spans="1:60" ht="16.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</row>
    <row r="93" spans="1:60" ht="16.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</row>
    <row r="94" spans="1:60" ht="16.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</row>
    <row r="95" spans="1:60" ht="16.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</row>
    <row r="96" spans="1:60" ht="16.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</row>
    <row r="97" spans="1:60" ht="16.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</row>
    <row r="98" spans="1:60" ht="16.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</row>
    <row r="99" spans="1:60" ht="16.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</row>
    <row r="100" spans="1:60" ht="16.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</row>
    <row r="101" spans="1:60" ht="16.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</row>
    <row r="102" spans="1:60" ht="16.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</row>
    <row r="103" spans="1:60" ht="16.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</row>
    <row r="104" spans="1:60" ht="16.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</row>
    <row r="105" spans="1:60" ht="16.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</row>
    <row r="106" spans="1:60" ht="16.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</row>
    <row r="107" spans="1:60" ht="16.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</row>
    <row r="108" spans="1:60" ht="16.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</row>
    <row r="109" spans="1:60" ht="16.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</row>
    <row r="110" spans="1:60" ht="16.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</row>
    <row r="111" spans="1:60" ht="16.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</row>
    <row r="112" spans="1:60" ht="16.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</row>
    <row r="113" spans="1:60" ht="16.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</row>
    <row r="114" spans="1:60" ht="16.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</row>
    <row r="115" spans="1:60" ht="16.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</row>
    <row r="116" spans="1:60" ht="16.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</row>
    <row r="117" spans="1:60" ht="16.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</row>
    <row r="118" spans="1:60" ht="16.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</row>
    <row r="119" spans="1:60" ht="16.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</row>
    <row r="120" spans="1:60" ht="16.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</row>
    <row r="121" spans="1:60" ht="16.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</row>
    <row r="122" spans="1:60" ht="16.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</row>
    <row r="123" spans="1:60" ht="16.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</row>
    <row r="124" spans="1:60" ht="16.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</row>
    <row r="125" spans="1:60" ht="16.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</row>
    <row r="126" spans="1:60" ht="16.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</row>
    <row r="127" spans="1:60" ht="16.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</row>
    <row r="128" spans="1:60" ht="16.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</row>
    <row r="129" spans="1:60" ht="16.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</row>
    <row r="130" spans="1:60" ht="16.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</row>
    <row r="131" spans="1:60" ht="16.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</row>
    <row r="132" spans="1:60" ht="16.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</row>
    <row r="133" spans="1:60" ht="16.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</row>
    <row r="134" spans="1:60" ht="16.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</row>
    <row r="135" spans="1:60" ht="16.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</row>
    <row r="136" spans="1:60" ht="16.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</row>
    <row r="137" spans="1:60" ht="16.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</row>
    <row r="138" spans="1:60" ht="16.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</row>
    <row r="139" spans="1:60" ht="16.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</row>
    <row r="140" spans="1:60" ht="16.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</row>
    <row r="141" spans="1:60" ht="16.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</row>
    <row r="142" spans="1:60" ht="16.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</row>
    <row r="143" spans="1:60" ht="16.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</row>
    <row r="144" spans="1:60" ht="16.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</row>
    <row r="145" spans="1:60" ht="16.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</row>
    <row r="146" spans="1:60" ht="16.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</row>
    <row r="147" spans="1:60" ht="16.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</row>
    <row r="148" spans="1:60" ht="16.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</row>
    <row r="149" spans="1:60" ht="16.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</row>
    <row r="150" spans="1:60" ht="16.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</row>
    <row r="151" spans="1:60" ht="16.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</row>
    <row r="152" spans="1:60" ht="16.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</row>
    <row r="153" spans="1:60" ht="16.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</row>
    <row r="154" spans="1:60" ht="16.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</row>
    <row r="155" spans="1:60" ht="16.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</row>
    <row r="156" spans="1:60" ht="16.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</row>
    <row r="157" spans="1:60" ht="16.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</row>
    <row r="158" spans="1:60" ht="16.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</row>
    <row r="159" spans="1:60" ht="16.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</row>
    <row r="160" spans="1:60" ht="16.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</row>
    <row r="161" spans="1:60" ht="16.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</row>
    <row r="162" spans="1:60" ht="16.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</row>
    <row r="163" spans="1:60" ht="16.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</row>
    <row r="164" spans="1:60" ht="16.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</row>
    <row r="165" spans="1:60" ht="16.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</row>
    <row r="166" spans="1:60" ht="16.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</row>
    <row r="167" spans="1:60" ht="16.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</row>
    <row r="168" spans="1:60" ht="16.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</row>
    <row r="169" spans="1:60" ht="16.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</row>
    <row r="170" spans="1:60" ht="16.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</row>
    <row r="171" spans="1:60" ht="16.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</row>
    <row r="172" spans="1:60" ht="16.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</row>
    <row r="173" spans="1:60" ht="16.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</row>
    <row r="174" spans="1:60" ht="16.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</row>
    <row r="175" spans="1:60" ht="16.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</row>
    <row r="176" spans="1:60" ht="16.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</row>
    <row r="177" spans="1:60" ht="16.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</row>
    <row r="178" spans="1:60" ht="16.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</row>
    <row r="179" spans="1:60" ht="16.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</row>
    <row r="180" spans="1:60" ht="16.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</row>
    <row r="181" spans="1:60" ht="16.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</row>
    <row r="182" spans="1:60" ht="16.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</row>
    <row r="183" spans="1:60" ht="16.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</row>
    <row r="184" spans="1:60" ht="16.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</row>
    <row r="185" spans="1:60" ht="16.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</row>
    <row r="186" spans="1:60" ht="16.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</row>
    <row r="187" spans="1:60" ht="16.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</row>
    <row r="188" spans="1:60" ht="16.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</row>
    <row r="189" spans="1:60" ht="16.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</row>
    <row r="190" spans="1:60" ht="16.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</row>
    <row r="191" spans="1:60" ht="16.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</row>
    <row r="192" spans="1:60" ht="16.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</row>
    <row r="193" spans="1:60" ht="16.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</row>
    <row r="194" spans="1:60" ht="16.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</row>
    <row r="195" spans="1:60" ht="16.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</row>
    <row r="196" spans="1:60" ht="16.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</row>
    <row r="197" spans="1:60" ht="16.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</row>
    <row r="198" spans="1:60" ht="16.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</row>
    <row r="199" spans="1:60" ht="16.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</row>
    <row r="200" spans="1:60" ht="16.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</row>
  </sheetData>
  <phoneticPr fontId="13" type="noConversion"/>
  <conditionalFormatting sqref="AH2:AH5">
    <cfRule type="cellIs" dxfId="1" priority="1" operator="greaterThan">
      <formula>0.45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P18"/>
  <sheetViews>
    <sheetView workbookViewId="0"/>
  </sheetViews>
  <sheetFormatPr defaultColWidth="10" defaultRowHeight="20"/>
  <cols>
    <col min="1" max="1" width="6.3828125"/>
    <col min="2" max="2" width="9"/>
    <col min="3" max="3" width="56.23046875"/>
    <col min="4" max="5" width="11.61328125"/>
    <col min="6" max="7" width="14.23046875"/>
    <col min="8" max="8" width="11.61328125"/>
    <col min="9" max="9" width="14.23046875"/>
    <col min="10" max="10" width="11.61328125"/>
    <col min="11" max="13" width="14.23046875"/>
    <col min="14" max="14" width="16.84375"/>
    <col min="15" max="15" width="14.23046875"/>
    <col min="16" max="16" width="11.61328125"/>
    <col min="17" max="17" width="14.23046875"/>
    <col min="18" max="18" width="19"/>
    <col min="19" max="19" width="16.3828125"/>
    <col min="20" max="20" width="14.23046875"/>
    <col min="21" max="21" width="11.61328125"/>
    <col min="22" max="22" width="16.84375"/>
    <col min="23" max="24" width="11.61328125"/>
    <col min="25" max="25" width="16.84375"/>
    <col min="26" max="26" width="11.61328125"/>
    <col min="27" max="27" width="21.61328125"/>
    <col min="28" max="28" width="16.84375"/>
    <col min="29" max="29" width="19.4609375"/>
    <col min="30" max="30" width="16.84375"/>
    <col min="31" max="31" width="9.61328125"/>
    <col min="32" max="32" width="11.15234375"/>
    <col min="33" max="33" width="18.3828125"/>
    <col min="34" max="34" width="16.84375"/>
    <col min="35" max="35" width="7.84375"/>
    <col min="36" max="36" width="11.61328125"/>
    <col min="37" max="38" width="14.23046875"/>
    <col min="39" max="39" width="16.3828125"/>
    <col min="40" max="42" width="11.61328125"/>
    <col min="43" max="43" width="16.3828125"/>
    <col min="44" max="44" width="11.61328125"/>
    <col min="45" max="45" width="14.23046875"/>
    <col min="46" max="47" width="11.61328125"/>
    <col min="48" max="49" width="14.23046875"/>
    <col min="50" max="50" width="16.3828125"/>
    <col min="51" max="52" width="11.61328125"/>
    <col min="53" max="54" width="16.84375"/>
    <col min="55" max="56" width="19.4609375"/>
    <col min="57" max="58" width="21.61328125"/>
    <col min="59" max="60" width="16.84375"/>
    <col min="61" max="61" width="11.61328125"/>
    <col min="62" max="62" width="32.61328125"/>
    <col min="63" max="63" width="27.3828125"/>
    <col min="64" max="64" width="30" style="3"/>
  </cols>
  <sheetData>
    <row r="1" spans="1:68" s="1" customFormat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7" t="s">
        <v>18</v>
      </c>
      <c r="T1" s="7" t="s">
        <v>19</v>
      </c>
      <c r="U1" s="4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4" t="s">
        <v>32</v>
      </c>
      <c r="AH1" s="4" t="s">
        <v>33</v>
      </c>
      <c r="AI1" s="7" t="s">
        <v>34</v>
      </c>
      <c r="AJ1" s="10" t="s">
        <v>35</v>
      </c>
      <c r="AK1" s="7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14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1" t="s">
        <v>66</v>
      </c>
      <c r="BP1" s="1" t="s">
        <v>67</v>
      </c>
    </row>
    <row r="2" spans="1:68" s="2" customFormat="1" ht="22.5" customHeight="1">
      <c r="A2" s="4">
        <f t="array" ref="A2:BP17">_xlfn._xlws.FILTER(Sheet1!A:BP,Sheet1!B:B="撤店")</f>
        <v>33</v>
      </c>
      <c r="B2" s="5" t="str">
        <v>撤店</v>
      </c>
      <c r="C2" s="5" t="str">
        <v>深圳万象食家多径</v>
      </c>
      <c r="D2" s="6">
        <v>0</v>
      </c>
      <c r="E2" s="6">
        <v>7.5</v>
      </c>
      <c r="F2" s="6">
        <v>0</v>
      </c>
      <c r="G2" s="6">
        <v>7.5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9">
        <v>0</v>
      </c>
      <c r="AA2" s="9">
        <v>0</v>
      </c>
      <c r="AB2" s="6">
        <v>7.5</v>
      </c>
      <c r="AC2" s="8">
        <v>7.4550000000000001</v>
      </c>
      <c r="AD2" s="8">
        <v>0</v>
      </c>
      <c r="AE2" s="8">
        <v>0</v>
      </c>
      <c r="AF2" s="8">
        <v>0</v>
      </c>
      <c r="AG2" s="9">
        <v>-1064.25</v>
      </c>
      <c r="AH2" s="11">
        <v>0</v>
      </c>
      <c r="AI2" s="9">
        <v>-1064.25</v>
      </c>
      <c r="AJ2" s="11">
        <v>-141.9</v>
      </c>
      <c r="AK2" s="6">
        <v>0</v>
      </c>
      <c r="AL2" s="12">
        <v>0</v>
      </c>
      <c r="AM2" s="12">
        <v>0</v>
      </c>
      <c r="AN2" s="12">
        <v>1568.5</v>
      </c>
      <c r="AO2" s="12">
        <v>0</v>
      </c>
      <c r="AP2" s="12">
        <v>0</v>
      </c>
      <c r="AQ2" s="13">
        <v>0</v>
      </c>
      <c r="AR2" s="12">
        <v>0</v>
      </c>
      <c r="AS2" s="12">
        <v>1568.5</v>
      </c>
      <c r="AT2" s="12">
        <v>0</v>
      </c>
      <c r="AU2" s="12">
        <v>0</v>
      </c>
      <c r="AV2" s="13">
        <v>0</v>
      </c>
      <c r="AW2" s="12">
        <v>0</v>
      </c>
      <c r="AX2" s="12">
        <v>0</v>
      </c>
      <c r="AY2" s="12">
        <v>45.5</v>
      </c>
      <c r="AZ2" s="12">
        <v>0</v>
      </c>
      <c r="BA2" s="12">
        <v>0</v>
      </c>
      <c r="BB2" s="13">
        <v>0</v>
      </c>
      <c r="BC2" s="12">
        <v>0</v>
      </c>
      <c r="BD2" s="12">
        <v>45.5</v>
      </c>
      <c r="BE2" s="12">
        <v>0</v>
      </c>
      <c r="BF2" s="12">
        <v>0</v>
      </c>
      <c r="BG2" s="12">
        <v>153</v>
      </c>
      <c r="BH2" s="12">
        <v>862.5</v>
      </c>
      <c r="BI2" s="12">
        <v>0</v>
      </c>
      <c r="BJ2" s="12">
        <v>0</v>
      </c>
      <c r="BK2" s="13">
        <v>0</v>
      </c>
      <c r="BL2" s="9">
        <v>0</v>
      </c>
      <c r="BM2" s="9">
        <v>153</v>
      </c>
      <c r="BN2" s="9">
        <v>3.36263736263736</v>
      </c>
      <c r="BO2" s="2">
        <v>4.7816385081287851E-3</v>
      </c>
      <c r="BP2" s="2">
        <v>34.472527472527403</v>
      </c>
    </row>
    <row r="3" spans="1:68" s="2" customFormat="1" ht="22.5" customHeight="1">
      <c r="A3" s="4">
        <v>34</v>
      </c>
      <c r="B3" s="5" t="str">
        <v>撤店</v>
      </c>
      <c r="C3" s="5" t="str">
        <v>深圳宝安壹方城figgyfinds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9">
        <v>0</v>
      </c>
      <c r="AA3" s="9">
        <v>-1287.25</v>
      </c>
      <c r="AB3" s="6">
        <v>-1287.25</v>
      </c>
      <c r="AC3" s="8">
        <v>-1287.25</v>
      </c>
      <c r="AD3" s="8">
        <v>0</v>
      </c>
      <c r="AE3" s="8">
        <v>0</v>
      </c>
      <c r="AF3" s="8">
        <v>0</v>
      </c>
      <c r="AG3" s="9">
        <v>-439.5</v>
      </c>
      <c r="AH3" s="11">
        <v>0</v>
      </c>
      <c r="AI3" s="9">
        <v>-439.5</v>
      </c>
      <c r="AJ3" s="11">
        <v>0.34142551951835309</v>
      </c>
      <c r="AK3" s="6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3">
        <v>0</v>
      </c>
      <c r="AR3" s="12">
        <v>0</v>
      </c>
      <c r="AS3" s="12">
        <v>0</v>
      </c>
      <c r="AT3" s="12">
        <v>0</v>
      </c>
      <c r="AU3" s="12">
        <v>0</v>
      </c>
      <c r="AV3" s="13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3">
        <v>0</v>
      </c>
      <c r="BC3" s="12">
        <v>0</v>
      </c>
      <c r="BD3" s="12">
        <v>0</v>
      </c>
      <c r="BE3" s="12">
        <v>0</v>
      </c>
      <c r="BF3" s="12">
        <v>0</v>
      </c>
      <c r="BG3" s="12">
        <v>56</v>
      </c>
      <c r="BH3" s="12">
        <v>349</v>
      </c>
      <c r="BI3" s="12">
        <v>0</v>
      </c>
      <c r="BJ3" s="12">
        <v>0</v>
      </c>
      <c r="BK3" s="13">
        <v>0</v>
      </c>
      <c r="BL3" s="9">
        <v>0</v>
      </c>
      <c r="BM3" s="9">
        <v>56</v>
      </c>
      <c r="BN3" s="9">
        <v>0</v>
      </c>
      <c r="BO3" s="2">
        <v>0</v>
      </c>
      <c r="BP3" s="2">
        <v>0</v>
      </c>
    </row>
    <row r="4" spans="1:68" s="2" customFormat="1" ht="22.5" customHeight="1">
      <c r="A4" s="4">
        <v>35</v>
      </c>
      <c r="B4" s="5" t="str">
        <v>撤店</v>
      </c>
      <c r="C4" s="5" t="str">
        <v>上海凯德1uone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 t="str">
        <v>106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9">
        <v>0</v>
      </c>
      <c r="AA4" s="9">
        <v>0</v>
      </c>
      <c r="AB4" s="6">
        <v>0</v>
      </c>
      <c r="AC4" s="8">
        <v>0</v>
      </c>
      <c r="AD4" s="8">
        <v>0</v>
      </c>
      <c r="AE4" s="8">
        <v>0</v>
      </c>
      <c r="AF4" s="8">
        <v>0</v>
      </c>
      <c r="AG4" s="9">
        <v>0</v>
      </c>
      <c r="AH4" s="11">
        <v>0</v>
      </c>
      <c r="AI4" s="9">
        <v>0</v>
      </c>
      <c r="AJ4" s="11">
        <v>0</v>
      </c>
      <c r="AK4" s="6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3">
        <v>0</v>
      </c>
      <c r="AR4" s="12">
        <v>0</v>
      </c>
      <c r="AS4" s="12">
        <v>0</v>
      </c>
      <c r="AT4" s="12">
        <v>0</v>
      </c>
      <c r="AU4" s="12">
        <v>0</v>
      </c>
      <c r="AV4" s="13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3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3">
        <v>0</v>
      </c>
      <c r="BL4" s="9">
        <v>0</v>
      </c>
      <c r="BM4" s="9">
        <v>0</v>
      </c>
      <c r="BN4" s="9">
        <v>0</v>
      </c>
      <c r="BO4" s="2">
        <v>0</v>
      </c>
      <c r="BP4" s="2">
        <v>0</v>
      </c>
    </row>
    <row r="5" spans="1:68" s="2" customFormat="1" ht="22.5" customHeight="1">
      <c r="A5" s="4">
        <v>36</v>
      </c>
      <c r="B5" s="5" t="str">
        <v>撤店</v>
      </c>
      <c r="C5" s="5" t="str">
        <v>东方宝泰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9">
        <v>-62.975000000000001</v>
      </c>
      <c r="AA5" s="9">
        <v>0</v>
      </c>
      <c r="AB5" s="6">
        <v>-62.975000000000001</v>
      </c>
      <c r="AC5" s="8">
        <v>-62.975000000000001</v>
      </c>
      <c r="AD5" s="8">
        <v>0</v>
      </c>
      <c r="AE5" s="8">
        <v>0</v>
      </c>
      <c r="AF5" s="8">
        <v>0</v>
      </c>
      <c r="AG5" s="9">
        <v>0</v>
      </c>
      <c r="AH5" s="11">
        <v>0</v>
      </c>
      <c r="AI5" s="9">
        <v>0</v>
      </c>
      <c r="AJ5" s="11">
        <v>0</v>
      </c>
      <c r="AK5" s="6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3">
        <v>0</v>
      </c>
      <c r="AR5" s="12">
        <v>0</v>
      </c>
      <c r="AS5" s="12">
        <v>0</v>
      </c>
      <c r="AT5" s="12">
        <v>0</v>
      </c>
      <c r="AU5" s="12">
        <v>0</v>
      </c>
      <c r="AV5" s="13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3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3">
        <v>0</v>
      </c>
      <c r="BL5" s="9">
        <v>0</v>
      </c>
      <c r="BM5" s="9">
        <v>0</v>
      </c>
      <c r="BN5" s="9">
        <v>0</v>
      </c>
      <c r="BO5" s="2">
        <v>0</v>
      </c>
      <c r="BP5" s="2">
        <v>0</v>
      </c>
    </row>
    <row r="6" spans="1:68" s="2" customFormat="1" ht="22.5" customHeight="1">
      <c r="A6" s="4">
        <v>37</v>
      </c>
      <c r="B6" s="5" t="str">
        <v>撤店</v>
      </c>
      <c r="C6" s="5" t="str">
        <v>上海宝山天街店（不支持门店自提）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9">
        <v>0</v>
      </c>
      <c r="AA6" s="9">
        <v>0</v>
      </c>
      <c r="AB6" s="6">
        <v>0</v>
      </c>
      <c r="AC6" s="8">
        <v>0</v>
      </c>
      <c r="AD6" s="8">
        <v>0</v>
      </c>
      <c r="AE6" s="8">
        <v>0</v>
      </c>
      <c r="AF6" s="8">
        <v>0</v>
      </c>
      <c r="AG6" s="9">
        <v>0</v>
      </c>
      <c r="AH6" s="11">
        <v>0</v>
      </c>
      <c r="AI6" s="9">
        <v>0</v>
      </c>
      <c r="AJ6" s="11">
        <v>0</v>
      </c>
      <c r="AK6" s="6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3">
        <v>0</v>
      </c>
      <c r="AR6" s="12">
        <v>0</v>
      </c>
      <c r="AS6" s="12">
        <v>0</v>
      </c>
      <c r="AT6" s="12">
        <v>0</v>
      </c>
      <c r="AU6" s="12">
        <v>0</v>
      </c>
      <c r="AV6" s="13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3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3">
        <v>0</v>
      </c>
      <c r="BL6" s="9">
        <v>0</v>
      </c>
      <c r="BM6" s="9">
        <v>0</v>
      </c>
      <c r="BN6" s="9">
        <v>0</v>
      </c>
      <c r="BO6" s="2">
        <v>0</v>
      </c>
      <c r="BP6" s="2">
        <v>0</v>
      </c>
    </row>
    <row r="7" spans="1:68" s="2" customFormat="1" ht="22.5" customHeight="1">
      <c r="A7" s="4">
        <v>38</v>
      </c>
      <c r="B7" s="5" t="str">
        <v>撤店</v>
      </c>
      <c r="C7" s="5" t="str">
        <v>上海来福士小鹿的屋（不支持兑换自提）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9">
        <v>0</v>
      </c>
      <c r="AA7" s="9">
        <v>0</v>
      </c>
      <c r="AB7" s="6">
        <v>0</v>
      </c>
      <c r="AC7" s="8">
        <v>0</v>
      </c>
      <c r="AD7" s="8">
        <v>0</v>
      </c>
      <c r="AE7" s="8">
        <v>0</v>
      </c>
      <c r="AF7" s="8">
        <v>0</v>
      </c>
      <c r="AG7" s="9">
        <v>0</v>
      </c>
      <c r="AH7" s="11">
        <v>0</v>
      </c>
      <c r="AI7" s="9">
        <v>0</v>
      </c>
      <c r="AJ7" s="11">
        <v>0</v>
      </c>
      <c r="AK7" s="6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3">
        <v>0</v>
      </c>
      <c r="AR7" s="12">
        <v>0</v>
      </c>
      <c r="AS7" s="12">
        <v>0</v>
      </c>
      <c r="AT7" s="12">
        <v>0</v>
      </c>
      <c r="AU7" s="12">
        <v>0</v>
      </c>
      <c r="AV7" s="13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3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3">
        <v>0</v>
      </c>
      <c r="BL7" s="9">
        <v>0</v>
      </c>
      <c r="BM7" s="9">
        <v>0</v>
      </c>
      <c r="BN7" s="9">
        <v>0</v>
      </c>
      <c r="BO7" s="2">
        <v>0</v>
      </c>
      <c r="BP7" s="2">
        <v>0</v>
      </c>
    </row>
    <row r="8" spans="1:68" s="2" customFormat="1" ht="22.5" customHeight="1">
      <c r="A8" s="4">
        <v>39</v>
      </c>
      <c r="B8" s="5" t="str">
        <v>撤店</v>
      </c>
      <c r="C8" s="5" t="str">
        <v>广州海珠万达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9">
        <v>0</v>
      </c>
      <c r="AA8" s="9">
        <v>0</v>
      </c>
      <c r="AB8" s="6">
        <v>0</v>
      </c>
      <c r="AC8" s="8">
        <v>0</v>
      </c>
      <c r="AD8" s="8">
        <v>0</v>
      </c>
      <c r="AE8" s="8">
        <v>0</v>
      </c>
      <c r="AF8" s="8">
        <v>0</v>
      </c>
      <c r="AG8" s="9">
        <v>0</v>
      </c>
      <c r="AH8" s="11">
        <v>0</v>
      </c>
      <c r="AI8" s="9">
        <v>0</v>
      </c>
      <c r="AJ8" s="11">
        <v>0</v>
      </c>
      <c r="AK8" s="6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3">
        <v>0</v>
      </c>
      <c r="AR8" s="12">
        <v>0</v>
      </c>
      <c r="AS8" s="12">
        <v>0</v>
      </c>
      <c r="AT8" s="12">
        <v>0</v>
      </c>
      <c r="AU8" s="12">
        <v>0</v>
      </c>
      <c r="AV8" s="13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3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3">
        <v>0</v>
      </c>
      <c r="BL8" s="9">
        <v>0</v>
      </c>
      <c r="BM8" s="9">
        <v>0</v>
      </c>
      <c r="BN8" s="9">
        <v>0</v>
      </c>
      <c r="BO8" s="2">
        <v>0</v>
      </c>
      <c r="BP8" s="2">
        <v>0</v>
      </c>
    </row>
    <row r="9" spans="1:68" s="2" customFormat="1" ht="22.5" customHeight="1">
      <c r="A9" s="4">
        <v>40</v>
      </c>
      <c r="B9" s="5" t="str">
        <v>撤店</v>
      </c>
      <c r="C9" s="5" t="str">
        <v>广州融创茂（小鹿的屋）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9">
        <v>0</v>
      </c>
      <c r="AA9" s="9">
        <v>0</v>
      </c>
      <c r="AB9" s="6">
        <v>0</v>
      </c>
      <c r="AC9" s="8">
        <v>0</v>
      </c>
      <c r="AD9" s="8">
        <v>0</v>
      </c>
      <c r="AE9" s="8">
        <v>0</v>
      </c>
      <c r="AF9" s="8">
        <v>0</v>
      </c>
      <c r="AG9" s="9">
        <v>0</v>
      </c>
      <c r="AH9" s="11">
        <v>0</v>
      </c>
      <c r="AI9" s="9">
        <v>0</v>
      </c>
      <c r="AJ9" s="11">
        <v>0</v>
      </c>
      <c r="AK9" s="6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3">
        <v>0</v>
      </c>
      <c r="AR9" s="12">
        <v>0</v>
      </c>
      <c r="AS9" s="12">
        <v>0</v>
      </c>
      <c r="AT9" s="12">
        <v>0</v>
      </c>
      <c r="AU9" s="12">
        <v>0</v>
      </c>
      <c r="AV9" s="13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3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3">
        <v>0</v>
      </c>
      <c r="BL9" s="9">
        <v>0</v>
      </c>
      <c r="BM9" s="9">
        <v>0</v>
      </c>
      <c r="BN9" s="9">
        <v>0</v>
      </c>
      <c r="BO9" s="2">
        <v>0</v>
      </c>
      <c r="BP9" s="2">
        <v>0</v>
      </c>
    </row>
    <row r="10" spans="1:68" s="2" customFormat="1" ht="22.5" customHeight="1">
      <c r="A10" s="4">
        <v>41</v>
      </c>
      <c r="B10" s="5" t="str">
        <v>撤店</v>
      </c>
      <c r="C10" s="5" t="str">
        <v>海口龙湖天街（小鹿的屋）（不支持门店自提）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9">
        <v>0</v>
      </c>
      <c r="AA10" s="9">
        <v>0</v>
      </c>
      <c r="AB10" s="6">
        <v>0</v>
      </c>
      <c r="AC10" s="8">
        <v>0</v>
      </c>
      <c r="AD10" s="8">
        <v>0</v>
      </c>
      <c r="AE10" s="8">
        <v>0</v>
      </c>
      <c r="AF10" s="8">
        <v>0</v>
      </c>
      <c r="AG10" s="9">
        <v>0</v>
      </c>
      <c r="AH10" s="11">
        <v>0</v>
      </c>
      <c r="AI10" s="9">
        <v>0</v>
      </c>
      <c r="AJ10" s="11">
        <v>0</v>
      </c>
      <c r="AK10" s="6">
        <v>0</v>
      </c>
      <c r="AL10" s="12">
        <v>0</v>
      </c>
      <c r="AM10" s="12">
        <v>0</v>
      </c>
      <c r="AN10" s="12">
        <v>12.5</v>
      </c>
      <c r="AO10" s="12">
        <v>0</v>
      </c>
      <c r="AP10" s="12">
        <v>0</v>
      </c>
      <c r="AQ10" s="13">
        <v>0</v>
      </c>
      <c r="AR10" s="12">
        <v>0</v>
      </c>
      <c r="AS10" s="12">
        <v>12.5</v>
      </c>
      <c r="AT10" s="12">
        <v>0</v>
      </c>
      <c r="AU10" s="12">
        <v>0</v>
      </c>
      <c r="AV10" s="13">
        <v>0</v>
      </c>
      <c r="AW10" s="12">
        <v>0</v>
      </c>
      <c r="AX10" s="12">
        <v>0</v>
      </c>
      <c r="AY10" s="12">
        <v>3</v>
      </c>
      <c r="AZ10" s="12">
        <v>0</v>
      </c>
      <c r="BA10" s="12">
        <v>0</v>
      </c>
      <c r="BB10" s="13">
        <v>0</v>
      </c>
      <c r="BC10" s="12">
        <v>0</v>
      </c>
      <c r="BD10" s="12">
        <v>3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3">
        <v>0</v>
      </c>
      <c r="BL10" s="9">
        <v>0</v>
      </c>
      <c r="BM10" s="9">
        <v>0</v>
      </c>
      <c r="BN10" s="9">
        <v>0</v>
      </c>
      <c r="BO10" s="2">
        <v>0</v>
      </c>
      <c r="BP10" s="2">
        <v>4.1666666666666599</v>
      </c>
    </row>
    <row r="11" spans="1:68" s="2" customFormat="1" ht="22.5" customHeight="1">
      <c r="A11" s="4">
        <v>42</v>
      </c>
      <c r="B11" s="5" t="str">
        <v>撤店</v>
      </c>
      <c r="C11" s="5" t="str">
        <v>兰州万象城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9">
        <v>0</v>
      </c>
      <c r="AA11" s="9">
        <v>0</v>
      </c>
      <c r="AB11" s="6">
        <v>0</v>
      </c>
      <c r="AC11" s="8">
        <v>0</v>
      </c>
      <c r="AD11" s="8">
        <v>0</v>
      </c>
      <c r="AE11" s="8">
        <v>0</v>
      </c>
      <c r="AF11" s="8">
        <v>0</v>
      </c>
      <c r="AG11" s="9">
        <v>0</v>
      </c>
      <c r="AH11" s="11">
        <v>0</v>
      </c>
      <c r="AI11" s="9">
        <v>0</v>
      </c>
      <c r="AJ11" s="11">
        <v>0</v>
      </c>
      <c r="AK11" s="6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3">
        <v>0</v>
      </c>
      <c r="AR11" s="12">
        <v>0</v>
      </c>
      <c r="AS11" s="12">
        <v>0</v>
      </c>
      <c r="AT11" s="12">
        <v>0</v>
      </c>
      <c r="AU11" s="12">
        <v>0</v>
      </c>
      <c r="AV11" s="13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3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3">
        <v>0</v>
      </c>
      <c r="BL11" s="9">
        <v>0</v>
      </c>
      <c r="BM11" s="9">
        <v>0</v>
      </c>
      <c r="BN11" s="9">
        <v>0</v>
      </c>
      <c r="BO11" s="2">
        <v>0</v>
      </c>
      <c r="BP11" s="2">
        <v>0</v>
      </c>
    </row>
    <row r="12" spans="1:68" s="2" customFormat="1" ht="22.5" customHeight="1">
      <c r="A12" s="4">
        <v>43</v>
      </c>
      <c r="B12" s="5" t="str">
        <v>撤店</v>
      </c>
      <c r="C12" s="5" t="str">
        <v>上海奉贤天街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9">
        <v>0</v>
      </c>
      <c r="AA12" s="9">
        <v>0</v>
      </c>
      <c r="AB12" s="6">
        <v>0</v>
      </c>
      <c r="AC12" s="8">
        <v>0</v>
      </c>
      <c r="AD12" s="8">
        <v>0</v>
      </c>
      <c r="AE12" s="8">
        <v>0</v>
      </c>
      <c r="AF12" s="8">
        <v>0</v>
      </c>
      <c r="AG12" s="9">
        <v>0</v>
      </c>
      <c r="AH12" s="11">
        <v>0</v>
      </c>
      <c r="AI12" s="9">
        <v>0</v>
      </c>
      <c r="AJ12" s="11">
        <v>0</v>
      </c>
      <c r="AK12" s="6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3">
        <v>0</v>
      </c>
      <c r="AR12" s="12">
        <v>0</v>
      </c>
      <c r="AS12" s="12">
        <v>0</v>
      </c>
      <c r="AT12" s="12">
        <v>0</v>
      </c>
      <c r="AU12" s="12">
        <v>0</v>
      </c>
      <c r="AV12" s="13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3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3">
        <v>0</v>
      </c>
      <c r="BL12" s="9">
        <v>0</v>
      </c>
      <c r="BM12" s="9">
        <v>0</v>
      </c>
      <c r="BN12" s="9">
        <v>0</v>
      </c>
      <c r="BO12" s="2">
        <v>0</v>
      </c>
      <c r="BP12" s="2">
        <v>0</v>
      </c>
    </row>
    <row r="13" spans="1:68" s="2" customFormat="1" ht="22.5" customHeight="1">
      <c r="A13" s="4">
        <v>44</v>
      </c>
      <c r="B13" s="5" t="str">
        <v>撤店</v>
      </c>
      <c r="C13" s="5" t="str">
        <v>重庆南坪协信（不支持门店自提）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9">
        <v>0</v>
      </c>
      <c r="AA13" s="9">
        <v>0</v>
      </c>
      <c r="AB13" s="6">
        <v>0</v>
      </c>
      <c r="AC13" s="8">
        <v>0</v>
      </c>
      <c r="AD13" s="8">
        <v>0</v>
      </c>
      <c r="AE13" s="8">
        <v>0</v>
      </c>
      <c r="AF13" s="8">
        <v>0</v>
      </c>
      <c r="AG13" s="9">
        <v>0</v>
      </c>
      <c r="AH13" s="11">
        <v>0</v>
      </c>
      <c r="AI13" s="9">
        <v>0</v>
      </c>
      <c r="AJ13" s="11">
        <v>0</v>
      </c>
      <c r="AK13" s="6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3">
        <v>0</v>
      </c>
      <c r="AR13" s="12">
        <v>0</v>
      </c>
      <c r="AS13" s="12">
        <v>0</v>
      </c>
      <c r="AT13" s="12">
        <v>0</v>
      </c>
      <c r="AU13" s="12">
        <v>0</v>
      </c>
      <c r="AV13" s="13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3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3">
        <v>0</v>
      </c>
      <c r="BL13" s="9">
        <v>0</v>
      </c>
      <c r="BM13" s="9">
        <v>0</v>
      </c>
      <c r="BN13" s="9">
        <v>0</v>
      </c>
      <c r="BO13" s="2">
        <v>0</v>
      </c>
      <c r="BP13" s="2">
        <v>0</v>
      </c>
    </row>
    <row r="14" spans="1:68" s="2" customFormat="1" ht="22.5" customHeight="1">
      <c r="A14" s="4">
        <v>45</v>
      </c>
      <c r="B14" s="5" t="str">
        <v>撤店</v>
      </c>
      <c r="C14" s="5" t="str">
        <v>松山湖负一多径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9">
        <v>0</v>
      </c>
      <c r="AA14" s="9">
        <v>0</v>
      </c>
      <c r="AB14" s="6">
        <v>0</v>
      </c>
      <c r="AC14" s="8">
        <v>0</v>
      </c>
      <c r="AD14" s="8">
        <v>0</v>
      </c>
      <c r="AE14" s="8">
        <v>0</v>
      </c>
      <c r="AF14" s="8">
        <v>0</v>
      </c>
      <c r="AG14" s="9">
        <v>0</v>
      </c>
      <c r="AH14" s="11">
        <v>0</v>
      </c>
      <c r="AI14" s="9">
        <v>0</v>
      </c>
      <c r="AJ14" s="11">
        <v>0</v>
      </c>
      <c r="AK14" s="6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3">
        <v>0</v>
      </c>
      <c r="AR14" s="12">
        <v>0</v>
      </c>
      <c r="AS14" s="12">
        <v>0</v>
      </c>
      <c r="AT14" s="12">
        <v>0</v>
      </c>
      <c r="AU14" s="12">
        <v>0</v>
      </c>
      <c r="AV14" s="13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3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3">
        <v>0</v>
      </c>
      <c r="BL14" s="9">
        <v>0</v>
      </c>
      <c r="BM14" s="9">
        <v>0</v>
      </c>
      <c r="BN14" s="9">
        <v>0</v>
      </c>
      <c r="BO14" s="2">
        <v>0</v>
      </c>
      <c r="BP14" s="2">
        <v>0</v>
      </c>
    </row>
    <row r="15" spans="1:68" s="2" customFormat="1" ht="22.5" customHeight="1">
      <c r="A15" s="4">
        <v>46</v>
      </c>
      <c r="B15" s="5" t="str">
        <v>撤店</v>
      </c>
      <c r="C15" s="5" t="str">
        <v>苏宁广场B区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9">
        <v>0</v>
      </c>
      <c r="AA15" s="9">
        <v>0</v>
      </c>
      <c r="AB15" s="6">
        <v>0</v>
      </c>
      <c r="AC15" s="8">
        <v>0</v>
      </c>
      <c r="AD15" s="8">
        <v>0</v>
      </c>
      <c r="AE15" s="8">
        <v>0</v>
      </c>
      <c r="AF15" s="8">
        <v>0</v>
      </c>
      <c r="AG15" s="9">
        <v>0</v>
      </c>
      <c r="AH15" s="11">
        <v>0</v>
      </c>
      <c r="AI15" s="9">
        <v>0</v>
      </c>
      <c r="AJ15" s="11">
        <v>0</v>
      </c>
      <c r="AK15" s="6">
        <v>0</v>
      </c>
      <c r="AL15" s="12">
        <v>0</v>
      </c>
      <c r="AM15" s="12">
        <v>0</v>
      </c>
      <c r="AN15" s="12">
        <v>8735.5</v>
      </c>
      <c r="AO15" s="12">
        <v>0</v>
      </c>
      <c r="AP15" s="12">
        <v>0</v>
      </c>
      <c r="AQ15" s="13">
        <v>0</v>
      </c>
      <c r="AR15" s="12">
        <v>0</v>
      </c>
      <c r="AS15" s="12">
        <v>8735.5</v>
      </c>
      <c r="AT15" s="12">
        <v>0</v>
      </c>
      <c r="AU15" s="12">
        <v>0</v>
      </c>
      <c r="AV15" s="13">
        <v>0</v>
      </c>
      <c r="AW15" s="12">
        <v>0</v>
      </c>
      <c r="AX15" s="12">
        <v>0</v>
      </c>
      <c r="AY15" s="12">
        <v>105.5</v>
      </c>
      <c r="AZ15" s="12">
        <v>0</v>
      </c>
      <c r="BA15" s="12">
        <v>0</v>
      </c>
      <c r="BB15" s="13">
        <v>0</v>
      </c>
      <c r="BC15" s="12">
        <v>0</v>
      </c>
      <c r="BD15" s="12">
        <v>105.5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3">
        <v>0</v>
      </c>
      <c r="BL15" s="9">
        <v>0</v>
      </c>
      <c r="BM15" s="9">
        <v>0</v>
      </c>
      <c r="BN15" s="9">
        <v>0</v>
      </c>
      <c r="BO15" s="2">
        <v>0</v>
      </c>
      <c r="BP15" s="2">
        <v>82.800947867298504</v>
      </c>
    </row>
    <row r="16" spans="1:68" s="2" customFormat="1" ht="22.5" customHeight="1">
      <c r="A16" s="4">
        <v>47</v>
      </c>
      <c r="B16" s="5" t="str">
        <v>撤店</v>
      </c>
      <c r="C16" s="5" t="str">
        <v>广州金茂益田假日广场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9">
        <v>0</v>
      </c>
      <c r="AA16" s="9">
        <v>0</v>
      </c>
      <c r="AB16" s="6">
        <v>0</v>
      </c>
      <c r="AC16" s="8">
        <v>0</v>
      </c>
      <c r="AD16" s="8">
        <v>0</v>
      </c>
      <c r="AE16" s="8">
        <v>0</v>
      </c>
      <c r="AF16" s="8">
        <v>0</v>
      </c>
      <c r="AG16" s="9">
        <v>0</v>
      </c>
      <c r="AH16" s="11">
        <v>0</v>
      </c>
      <c r="AI16" s="9">
        <v>0</v>
      </c>
      <c r="AJ16" s="11">
        <v>0</v>
      </c>
      <c r="AK16" s="6">
        <v>0</v>
      </c>
      <c r="AL16" s="12">
        <v>0</v>
      </c>
      <c r="AM16" s="12">
        <v>0</v>
      </c>
      <c r="AN16" s="12">
        <v>1053</v>
      </c>
      <c r="AO16" s="12">
        <v>0</v>
      </c>
      <c r="AP16" s="12">
        <v>0</v>
      </c>
      <c r="AQ16" s="13">
        <v>0</v>
      </c>
      <c r="AR16" s="12">
        <v>0</v>
      </c>
      <c r="AS16" s="12">
        <v>1053</v>
      </c>
      <c r="AT16" s="12">
        <v>0</v>
      </c>
      <c r="AU16" s="12">
        <v>0</v>
      </c>
      <c r="AV16" s="13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3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3">
        <v>0</v>
      </c>
      <c r="BL16" s="9">
        <v>0</v>
      </c>
      <c r="BM16" s="9">
        <v>0</v>
      </c>
      <c r="BN16" s="9">
        <v>0</v>
      </c>
      <c r="BO16" s="2">
        <v>0</v>
      </c>
      <c r="BP16" s="2">
        <v>0</v>
      </c>
    </row>
    <row r="17" spans="1:68" s="2" customFormat="1" ht="22.5" customHeight="1">
      <c r="A17" s="4">
        <v>48</v>
      </c>
      <c r="B17" s="5" t="str">
        <v>撤店</v>
      </c>
      <c r="C17" s="5" t="str">
        <v>杭州龙湖天街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9">
        <v>0</v>
      </c>
      <c r="AA17" s="9">
        <v>0</v>
      </c>
      <c r="AB17" s="6">
        <v>0</v>
      </c>
      <c r="AC17" s="8">
        <v>0</v>
      </c>
      <c r="AD17" s="8">
        <v>0</v>
      </c>
      <c r="AE17" s="8">
        <v>0</v>
      </c>
      <c r="AF17" s="8">
        <v>0</v>
      </c>
      <c r="AG17" s="9">
        <v>0</v>
      </c>
      <c r="AH17" s="11">
        <v>0</v>
      </c>
      <c r="AI17" s="9">
        <v>0</v>
      </c>
      <c r="AJ17" s="11">
        <v>0</v>
      </c>
      <c r="AK17" s="6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3">
        <v>0</v>
      </c>
      <c r="AR17" s="12">
        <v>0</v>
      </c>
      <c r="AS17" s="12">
        <v>0</v>
      </c>
      <c r="AT17" s="12">
        <v>0</v>
      </c>
      <c r="AU17" s="12">
        <v>0</v>
      </c>
      <c r="AV17" s="13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3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3">
        <v>0</v>
      </c>
      <c r="BL17" s="9">
        <v>0</v>
      </c>
      <c r="BM17" s="9">
        <v>0</v>
      </c>
      <c r="BN17" s="9">
        <v>0</v>
      </c>
      <c r="BO17" s="2">
        <v>0</v>
      </c>
      <c r="BP17" s="2">
        <v>0</v>
      </c>
    </row>
    <row r="18" spans="1:68" s="2" customFormat="1" ht="16.5" customHeight="1">
      <c r="A18" s="4"/>
      <c r="B18" s="5"/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8"/>
      <c r="U18" s="8"/>
      <c r="V18" s="8"/>
      <c r="W18" s="8"/>
      <c r="X18" s="8"/>
      <c r="Y18" s="8"/>
      <c r="Z18" s="9"/>
      <c r="AA18" s="9"/>
      <c r="AB18" s="6"/>
      <c r="AC18" s="8"/>
      <c r="AD18" s="8"/>
      <c r="AE18" s="8"/>
      <c r="AF18" s="8"/>
      <c r="AG18" s="9"/>
      <c r="AH18" s="11"/>
      <c r="AI18" s="9"/>
      <c r="AJ18" s="11"/>
      <c r="AK18" s="6"/>
      <c r="AL18" s="12"/>
      <c r="AM18" s="12"/>
      <c r="AN18" s="12"/>
      <c r="AO18" s="12"/>
      <c r="AP18" s="12"/>
      <c r="AQ18" s="13"/>
      <c r="AR18" s="12"/>
      <c r="AS18" s="12"/>
      <c r="AT18" s="12"/>
      <c r="AU18" s="12"/>
      <c r="AV18" s="13"/>
      <c r="AW18" s="12"/>
      <c r="AX18" s="12"/>
      <c r="AY18" s="12"/>
      <c r="AZ18" s="12"/>
      <c r="BA18" s="12"/>
      <c r="BB18" s="13"/>
      <c r="BC18" s="12"/>
      <c r="BD18" s="12"/>
      <c r="BE18" s="12"/>
      <c r="BF18" s="12"/>
      <c r="BG18" s="12"/>
      <c r="BH18" s="12"/>
      <c r="BI18" s="12"/>
      <c r="BJ18" s="12"/>
      <c r="BK18" s="13"/>
      <c r="BL18" s="9"/>
      <c r="BM18" s="9"/>
      <c r="BN18" s="9"/>
    </row>
  </sheetData>
  <phoneticPr fontId="13" type="noConversion"/>
  <conditionalFormatting sqref="AH2:AH18">
    <cfRule type="cellIs" dxfId="0" priority="1" operator="greaterThan">
      <formula>0.45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Sheet1</vt:lpstr>
      <vt:lpstr>小叮当</vt:lpstr>
      <vt:lpstr>郑伟峰</vt:lpstr>
      <vt:lpstr>梁志成</vt:lpstr>
      <vt:lpstr>方小丹</vt:lpstr>
      <vt:lpstr>洪奕翔</vt:lpstr>
      <vt:lpstr>吴兴涛</vt:lpstr>
      <vt:lpstr>文龙</vt:lpstr>
      <vt:lpstr>王青</vt:lpstr>
      <vt:lpstr>徐丹</vt:lpstr>
      <vt:lpstr>撤店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bady no</cp:lastModifiedBy>
  <dcterms:created xsi:type="dcterms:W3CDTF">2026-07-09T04:06:31Z</dcterms:created>
  <dcterms:modified xsi:type="dcterms:W3CDTF">2026-07-13T13:38:30Z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0656E0B9DC7B499B96CEE23EF7E56E94_13</vt:lpwstr>
  </property>
  <property fmtid="{D5CDD505-2E9C-101B-9397-08002B2CF9AE}" pid="3" name="KSOProductBuildVer">
    <vt:lpwstr>2052-12.1.0.18276</vt:lpwstr>
  </property>
</Properties>
</file>